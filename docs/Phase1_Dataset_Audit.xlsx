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ssues" sheetId="2" state="visible" r:id="rId4"/>
    <sheet name="Lifecycle" sheetId="3" state="visible" r:id="rId5"/>
    <sheet name="Filter tests" sheetId="4" state="visible" r:id="rId6"/>
  </sheets>
  <definedNames>
    <definedName function="false" hidden="true" localSheetId="1" name="_xlnm._FilterDatabase" vbProcedure="false">Issues!$A$1:$J$349</definedName>
    <definedName function="false" hidden="true" localSheetId="2" name="_xlnm._FilterDatabase" vbProcedure="false">Lifecycle!$A$1:$H$33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<sst xmlns="http://schemas.openxmlformats.org/spreadsheetml/2006/main" count="3108" uniqueCount="699">
  <si>
    <t xml:space="preserve">Cisco Partner Rehberi — Phase 1 dataset audit</t>
  </si>
  <si>
    <t xml:space="preserve">Audit of the 7 SelectorTool CSVs, 9 Oct 2026. Lifecycle checked against Cisco/Meraki EoL pages listed on the Lifecycle tab.</t>
  </si>
  <si>
    <t xml:space="preserve">Issues by file and severity</t>
  </si>
  <si>
    <t xml:space="preserve">File</t>
  </si>
  <si>
    <t xml:space="preserve">Rows in file</t>
  </si>
  <si>
    <t xml:space="preserve">High</t>
  </si>
  <si>
    <t xml:space="preserve">Medium</t>
  </si>
  <si>
    <t xml:space="preserve">Low</t>
  </si>
  <si>
    <t xml:space="preserve">Total</t>
  </si>
  <si>
    <t xml:space="preserve">Open</t>
  </si>
  <si>
    <t xml:space="preserve">switching.csv</t>
  </si>
  <si>
    <t xml:space="preserve">wireless-data.csv</t>
  </si>
  <si>
    <t xml:space="preserve">wireless-antenna-data.csv</t>
  </si>
  <si>
    <t xml:space="preserve">routers.csv</t>
  </si>
  <si>
    <t xml:space="preserve">router-modules.csv</t>
  </si>
  <si>
    <t xml:space="preserve">DC-data.csv</t>
  </si>
  <si>
    <t xml:space="preserve">dc-modules-data.csv</t>
  </si>
  <si>
    <t xml:space="preserve">Lifecycle actions (Lifecycle tab)</t>
  </si>
  <si>
    <t xml:space="preserve">Action</t>
  </si>
  <si>
    <t xml:space="preserve">Groups</t>
  </si>
  <si>
    <t xml:space="preserve">Remove…</t>
  </si>
  <si>
    <t xml:space="preserve">Keep with badge…</t>
  </si>
  <si>
    <t xml:space="preserve">Verify / re-check / fill…</t>
  </si>
  <si>
    <t xml:space="preserve">Keep (current)</t>
  </si>
  <si>
    <t xml:space="preserve">How to use</t>
  </si>
  <si>
    <t xml:space="preserve">Issues tab: one row per problem. Set Status (yellow column) to Open / Fixed / Won't fix; the Open counts above update.</t>
  </si>
  <si>
    <t xml:space="preserve">CSV row = line number in the CSV file (header is line 1). Blank = applies to many rows; see Model / scope.</t>
  </si>
  <si>
    <t xml:space="preserve">Severity: High = wrong advice or a model hidden from users; Medium = misleading or incomplete; Low = hygiene.</t>
  </si>
  <si>
    <t xml:space="preserve">Filter tests tab: what the old filter code does with this data. These go away once the new schema stores clean values.</t>
  </si>
  <si>
    <t xml:space="preserve">Lifecycle "Not verified" rows still need a check on cisco.com before Phase 3.</t>
  </si>
  <si>
    <t xml:space="preserve">ID</t>
  </si>
  <si>
    <t xml:space="preserve">CSV row</t>
  </si>
  <si>
    <t xml:space="preserve">Model / scope</t>
  </si>
  <si>
    <t xml:space="preserve">Column</t>
  </si>
  <si>
    <t xml:space="preserve">Severity</t>
  </si>
  <si>
    <t xml:space="preserve">Category</t>
  </si>
  <si>
    <t xml:space="preserve">Issue</t>
  </si>
  <si>
    <t xml:space="preserve">Fix</t>
  </si>
  <si>
    <t xml:space="preserve">Status</t>
  </si>
  <si>
    <t xml:space="preserve">(all rows)</t>
  </si>
  <si>
    <t xml:space="preserve">(new column)</t>
  </si>
  <si>
    <t xml:space="preserve">Schema</t>
  </si>
  <si>
    <t xml:space="preserve">No lifecycle column; End-of-Sale models cannot be badged or excluded</t>
  </si>
  <si>
    <t xml:space="preserve">Add lifecycle, eos_announced, last_order, ldos, replacement_pid, eol_bulletin_url</t>
  </si>
  <si>
    <t xml:space="preserve">(new columns)</t>
  </si>
  <si>
    <t xml:space="preserve">No Turkish text, series explainer, recommended flag, added_date or last_verified</t>
  </si>
  <si>
    <t xml:space="preserve">Add name_tr, summary_tr, good_for_tr, recommended, recommended_why_tr, added_date, last_verified, source_url</t>
  </si>
  <si>
    <t xml:space="preserve">64 models (C9300, C9300X, C9300-M, C9200, C9350, C9400, C9600, C9610 …)</t>
  </si>
  <si>
    <t xml:space="preserve">Uplink Speed</t>
  </si>
  <si>
    <t xml:space="preserve">Filter logic</t>
  </si>
  <si>
    <t xml:space="preserve">Uplink Speed = "Modular" never matches any uplink button, so every modular-uplink switch vanishes when an uplink filter is used</t>
  </si>
  <si>
    <t xml:space="preserve">Add uplink_gbps listing the speeds reachable with supported network modules, e.g. [1,10,25,40,100]</t>
  </si>
  <si>
    <t xml:space="preserve">C9400X-SUP-2, C9400X-SUP-2XL</t>
  </si>
  <si>
    <t xml:space="preserve">(missing rows)</t>
  </si>
  <si>
    <t xml:space="preserve">Missing data</t>
  </si>
  <si>
    <t xml:space="preserve">Replacement supervisors for the End-of-Sale SUP-1/1XL are not in the data, so C9400 chassis cannot be configured</t>
  </si>
  <si>
    <t xml:space="preserve">Add both supervisors with compatibility to C9404R/C9407R/C9410R</t>
  </si>
  <si>
    <t xml:space="preserve">MS210-24-HW</t>
  </si>
  <si>
    <t xml:space="preserve">Lifecycle</t>
  </si>
  <si>
    <t xml:space="preserve">End-of-Sale since 2026-04-30; still listed as a normal model</t>
  </si>
  <si>
    <t xml:space="preserve">Move to "Eski modeller"; replacement: MS130 / MS150 (confirm per model)</t>
  </si>
  <si>
    <t xml:space="preserve">MS210-24P-HW</t>
  </si>
  <si>
    <t xml:space="preserve">MS210-48-HW</t>
  </si>
  <si>
    <t xml:space="preserve">MS210-48LP-HW</t>
  </si>
  <si>
    <t xml:space="preserve">MS210-48FP-HW</t>
  </si>
  <si>
    <t xml:space="preserve">MS450-12-HW</t>
  </si>
  <si>
    <t xml:space="preserve">End-of-Sale announced, last order 2026-10-29; no lifecycle field to show it</t>
  </si>
  <si>
    <t xml:space="preserve">Set lifecycle=eos_announced, last_order=2026-10-29, replacement=C9500-32QC</t>
  </si>
  <si>
    <t xml:space="preserve">C9400-SUP-1</t>
  </si>
  <si>
    <t xml:space="preserve">End-of-Sale since 2025-04-30; still listed as a normal model</t>
  </si>
  <si>
    <t xml:space="preserve">Move to "Eski modeller"; replacement: C9400X-SUP-2 / C9400X-SUP-2XL (missing from data)</t>
  </si>
  <si>
    <t xml:space="preserve">C9400-SUP-1XL</t>
  </si>
  <si>
    <t xml:space="preserve">C9500X-28C8D</t>
  </si>
  <si>
    <t xml:space="preserve">Downlink Port Count</t>
  </si>
  <si>
    <t xml:space="preserve">28 ports fall between the 24 and 48+ buckets; model disappears whenever a port filter is on</t>
  </si>
  <si>
    <t xml:space="preserve">Store port count as a number; use buckets ≤8 / 9–16 / 17–28 / 29–47 / 48+</t>
  </si>
  <si>
    <t xml:space="preserve">C9500-32C</t>
  </si>
  <si>
    <t xml:space="preserve">32 ports fall between the 24 and 48+ buckets; model disappears whenever a port filter is on</t>
  </si>
  <si>
    <t xml:space="preserve">C9500-32QC</t>
  </si>
  <si>
    <t xml:space="preserve">C9500-16X</t>
  </si>
  <si>
    <t xml:space="preserve">Move to "Eski modeller"; replacement: C9500-24Y4C (NMs: none)</t>
  </si>
  <si>
    <t xml:space="preserve">C9500-16X-2Q</t>
  </si>
  <si>
    <t xml:space="preserve">C9500-NM-2Q</t>
  </si>
  <si>
    <t xml:space="preserve">C9500-NM-8X</t>
  </si>
  <si>
    <t xml:space="preserve">137 models</t>
  </si>
  <si>
    <t xml:space="preserve">Unified Architecture</t>
  </si>
  <si>
    <t xml:space="preserve">Verify</t>
  </si>
  <si>
    <t xml:space="preserve">"Yes" on C9300/C9300L/C9200L/C9500/C9350 and -M rows; the toggle promises a unified-licence management pivot</t>
  </si>
  <si>
    <t xml:space="preserve">Confirm which PIDs support the unified licence/management mode and store as management: [on_prem, cloud]</t>
  </si>
  <si>
    <t xml:space="preserve">C1200-8T-D</t>
  </si>
  <si>
    <t xml:space="preserve">Uplink Speed blank; excluded by any uplink filter</t>
  </si>
  <si>
    <t xml:space="preserve">Fill from datasheet (or "none" for fixed-port models without dedicated uplinks)</t>
  </si>
  <si>
    <t xml:space="preserve">C1300-8T-E-2G</t>
  </si>
  <si>
    <t xml:space="preserve">Stacking / Features</t>
  </si>
  <si>
    <t xml:space="preserve">Consistency</t>
  </si>
  <si>
    <t xml:space="preserve">Stacking column says Yes but the Features list (which the filter reads) omits it</t>
  </si>
  <si>
    <t xml:space="preserve">Confirm against Cisco's C1300 stacking SKU list, then make both agree (one field only)</t>
  </si>
  <si>
    <t xml:space="preserve">C1300-8P-E-2G</t>
  </si>
  <si>
    <t xml:space="preserve">C1300-8FP-2G</t>
  </si>
  <si>
    <t xml:space="preserve">C1300-16T-2G</t>
  </si>
  <si>
    <t xml:space="preserve">C1300-16P-2G</t>
  </si>
  <si>
    <t xml:space="preserve">C1300-16FP-2G</t>
  </si>
  <si>
    <t xml:space="preserve">C1300-24T-4G</t>
  </si>
  <si>
    <t xml:space="preserve">C1300-24P-4G</t>
  </si>
  <si>
    <t xml:space="preserve">C1300-24FP-4G</t>
  </si>
  <si>
    <t xml:space="preserve">C1300-48T-4G</t>
  </si>
  <si>
    <t xml:space="preserve">C1300-48P-4G</t>
  </si>
  <si>
    <t xml:space="preserve">C1300-48FP-4G</t>
  </si>
  <si>
    <t xml:space="preserve">C1300-12XS</t>
  </si>
  <si>
    <t xml:space="preserve">C1300-16XTS</t>
  </si>
  <si>
    <t xml:space="preserve">C1300-24XS</t>
  </si>
  <si>
    <t xml:space="preserve">C1300-24XT</t>
  </si>
  <si>
    <t xml:space="preserve">C1300-24XTS</t>
  </si>
  <si>
    <t xml:space="preserve">IE-3100H-8T-E</t>
  </si>
  <si>
    <t xml:space="preserve">IE-3400H-8FT</t>
  </si>
  <si>
    <t xml:space="preserve">IE-3400H-16FT</t>
  </si>
  <si>
    <t xml:space="preserve">IE-3400H-24FT</t>
  </si>
  <si>
    <t xml:space="preserve">IE-3400H-8T</t>
  </si>
  <si>
    <t xml:space="preserve">IE-3400H-16T</t>
  </si>
  <si>
    <t xml:space="preserve">IE-3400H-24T</t>
  </si>
  <si>
    <t xml:space="preserve">CBS110-5T-D</t>
  </si>
  <si>
    <t xml:space="preserve">CBS110-8T-D</t>
  </si>
  <si>
    <t xml:space="preserve">CBS110-8PP-D</t>
  </si>
  <si>
    <t xml:space="preserve">CBS110-16T</t>
  </si>
  <si>
    <t xml:space="preserve">CBS110-16PP</t>
  </si>
  <si>
    <t xml:space="preserve">CBS110-24T</t>
  </si>
  <si>
    <t xml:space="preserve">CBS110-24PP</t>
  </si>
  <si>
    <t xml:space="preserve">35 rows</t>
  </si>
  <si>
    <t xml:space="preserve">(rows using "Layer 2 Access")</t>
  </si>
  <si>
    <t xml:space="preserve">Layer3 support</t>
  </si>
  <si>
    <t xml:space="preserve">Data quality</t>
  </si>
  <si>
    <t xml:space="preserve">Two spellings for the same value: "L2 Access" (75) and "Layer 2 Access" (35)</t>
  </si>
  <si>
    <t xml:space="preserve">One vocabulary: unmanaged / l2 / l3_basic / l3_full</t>
  </si>
  <si>
    <t xml:space="preserve">(feature tokens)</t>
  </si>
  <si>
    <t xml:space="preserve">Features</t>
  </si>
  <si>
    <t xml:space="preserve">Tokens with no filter button or mixed case: "rugged" (58), "DC Power"/"DC power" (39), "smart managed" (16), "unmanaged" (7)</t>
  </si>
  <si>
    <t xml:space="preserve">Controlled feature list; case-insensitive build check</t>
  </si>
  <si>
    <t xml:space="preserve">Network modules, line cards, IEM modules</t>
  </si>
  <si>
    <t xml:space="preserve">Supertype</t>
  </si>
  <si>
    <t xml:space="preserve">Same module repeated under several Supertypes (e.g. C9300-NM-* under C9300 and 9300-M) to fake a compatibility link</t>
  </si>
  <si>
    <t xml:space="preserve">Separate compatibility table: module_pid ↔ chassis/series</t>
  </si>
  <si>
    <t xml:space="preserve">189</t>
  </si>
  <si>
    <t xml:space="preserve">BLANK (C9300 and C9300X)</t>
  </si>
  <si>
    <t xml:space="preserve">Model</t>
  </si>
  <si>
    <t xml:space="preserve">Two different rows share the model name "BLANK"</t>
  </si>
  <si>
    <t xml:space="preserve">Use the real PIDs C9300-NM-BLANK and C9300X-NM-BLANK</t>
  </si>
  <si>
    <t xml:space="preserve">C9404R</t>
  </si>
  <si>
    <t xml:space="preserve">Chassis lists "Stacking" in Features while Stacking column is No</t>
  </si>
  <si>
    <t xml:space="preserve">Remove from Features (chassis use StackWise Virtual, a separate feature)</t>
  </si>
  <si>
    <t xml:space="preserve">C9407R</t>
  </si>
  <si>
    <t xml:space="preserve">C9410R</t>
  </si>
  <si>
    <t xml:space="preserve">C9606R</t>
  </si>
  <si>
    <t xml:space="preserve">C9610R</t>
  </si>
  <si>
    <t xml:space="preserve">IE-1000-4T1T-LM</t>
  </si>
  <si>
    <t xml:space="preserve">"100M" is not one of the uplink filter values</t>
  </si>
  <si>
    <t xml:space="preserve">Use the controlled value 0.1 Gbps or 1G per datasheet</t>
  </si>
  <si>
    <t xml:space="preserve">IE-1000-6T2T-LM</t>
  </si>
  <si>
    <t xml:space="preserve">CBS220-8P-E-2G</t>
  </si>
  <si>
    <t xml:space="preserve">Fans / Features</t>
  </si>
  <si>
    <t xml:space="preserve">Fans column shows fans but Features lacks "Fan", so the Fan filter misses it</t>
  </si>
  <si>
    <t xml:space="preserve">Derive the Fan filter from the Fans column</t>
  </si>
  <si>
    <t xml:space="preserve">CBS220-8FP-E-2G</t>
  </si>
  <si>
    <t xml:space="preserve">CBS220-16P-2G</t>
  </si>
  <si>
    <t xml:space="preserve">CBS220-24P-4G</t>
  </si>
  <si>
    <t xml:space="preserve">CBS220-24FP-4G</t>
  </si>
  <si>
    <t xml:space="preserve">CBS220-48T-4G</t>
  </si>
  <si>
    <t xml:space="preserve">CBS220-48P-4G</t>
  </si>
  <si>
    <t xml:space="preserve">CBS220-24P-4X</t>
  </si>
  <si>
    <t xml:space="preserve">CBS220-24FP-4X</t>
  </si>
  <si>
    <t xml:space="preserve">CBS220-48T-4X</t>
  </si>
  <si>
    <t xml:space="preserve">CBS220-48P-4X</t>
  </si>
  <si>
    <t xml:space="preserve">CBS220-48FP-4X</t>
  </si>
  <si>
    <t xml:space="preserve">Lifecycle Status</t>
  </si>
  <si>
    <t xml:space="preserve">Free-text values ("AEOS 31-Dec-2026", "Shipping Sep 2026", blank)</t>
  </si>
  <si>
    <t xml:space="preserve">Split into lifecycle (current / eos_announced / eos) + dated fields</t>
  </si>
  <si>
    <t xml:space="preserve">Catalyst 9162I/9163E/9164I/9166I/9166D1</t>
  </si>
  <si>
    <t xml:space="preserve">Management</t>
  </si>
  <si>
    <t xml:space="preserve">Listed as "Unified"; Wi-Fi 6E management mode is chosen by SKU (-MR = Meraki), unlike the Wi-Fi 7 unified licence</t>
  </si>
  <si>
    <t xml:space="preserve">Store management per SKU; reword the Unified info box</t>
  </si>
  <si>
    <t xml:space="preserve">All 6 GHz models</t>
  </si>
  <si>
    <t xml:space="preserve">Bands (GHz)</t>
  </si>
  <si>
    <t xml:space="preserve">Content</t>
  </si>
  <si>
    <t xml:space="preserve">No Turkey note on 6 GHz availability</t>
  </si>
  <si>
    <t xml:space="preserve">Add a TR note: verify BTK 6 GHz status before positioning 6E/7 as 6 GHz-capable</t>
  </si>
  <si>
    <t xml:space="preserve">Cisco Wireless 9179F</t>
  </si>
  <si>
    <t xml:space="preserve">Antenna Type</t>
  </si>
  <si>
    <t xml:space="preserve">"Internal (optional kit)" means external=false, so the 7 antennas in the antenna file are never offered</t>
  </si>
  <si>
    <t xml:space="preserve">Store antenna: [internal, external_optional]; picker shows when external is possible</t>
  </si>
  <si>
    <t xml:space="preserve">Cisco Wireless 9176I </t>
  </si>
  <si>
    <t xml:space="preserve">PoE Class</t>
  </si>
  <si>
    <t xml:space="preserve">"at/bt" doesn't say which standard gives full function</t>
  </si>
  <si>
    <t xml:space="preserve">Add poe_full (e.g. bt) and poe_reduced_note_tr describing what is lost on at</t>
  </si>
  <si>
    <t xml:space="preserve">Cisco Wireless 9176D1 </t>
  </si>
  <si>
    <t xml:space="preserve">Cisco Wireless 9174I</t>
  </si>
  <si>
    <t xml:space="preserve">Cisco Wireless 9174E</t>
  </si>
  <si>
    <t xml:space="preserve">Catalyst 9166I</t>
  </si>
  <si>
    <t xml:space="preserve">Catalyst 9166D1</t>
  </si>
  <si>
    <t xml:space="preserve">Catalyst 9163E</t>
  </si>
  <si>
    <t xml:space="preserve">Catalyst 9124AXI</t>
  </si>
  <si>
    <t xml:space="preserve">Catalyst 9124AXD</t>
  </si>
  <si>
    <t xml:space="preserve">Catalyst 9124AXE</t>
  </si>
  <si>
    <t xml:space="preserve">Catalyst 9130AXI</t>
  </si>
  <si>
    <t xml:space="preserve">Catalyst 9130AXE</t>
  </si>
  <si>
    <t xml:space="preserve">Meraki MR86</t>
  </si>
  <si>
    <t xml:space="preserve">Catalyst IW9167E (Heavy Duty)</t>
  </si>
  <si>
    <t xml:space="preserve">Lifecycle blank</t>
  </si>
  <si>
    <t xml:space="preserve">Fill lifecycle</t>
  </si>
  <si>
    <t xml:space="preserve">Catalyst IW9167I (Heavy Duty)</t>
  </si>
  <si>
    <t xml:space="preserve">Catalyst IW9167E-HZ (HAZLOC)</t>
  </si>
  <si>
    <t xml:space="preserve">Catalyst IW9165E (Rugged)</t>
  </si>
  <si>
    <t xml:space="preserve">"5-Ghz / 6-Ghz" is not parsed; model never matches any band filter</t>
  </si>
  <si>
    <t xml:space="preserve">Store bands_ghz: [5, 6]</t>
  </si>
  <si>
    <t xml:space="preserve">Catalyst IW9165D (Heavy Duty)</t>
  </si>
  <si>
    <t xml:space="preserve">Cisco Business 150AX / 151AXM</t>
  </si>
  <si>
    <t xml:space="preserve">Management "Cisco Business" maps to bucket "Other", so these never appear under any management toggle except ALL</t>
  </si>
  <si>
    <t xml:space="preserve">Add an "Embedded / Cisco Business" management option</t>
  </si>
  <si>
    <t xml:space="preserve">Domain Code</t>
  </si>
  <si>
    <t xml:space="preserve">Yes/No column with no explanation; meaning unclear to users</t>
  </si>
  <si>
    <t xml:space="preserve">Rename or drop (regulatory domain belongs in ordering notes)</t>
  </si>
  <si>
    <t xml:space="preserve">Cisco Wireless 9178I</t>
  </si>
  <si>
    <t xml:space="preserve">Trailing space in model name</t>
  </si>
  <si>
    <t xml:space="preserve">Trim (build step)</t>
  </si>
  <si>
    <t xml:space="preserve">Cisco Wireless 9177I</t>
  </si>
  <si>
    <t xml:space="preserve">"Shipping Sep 2026" is now past</t>
  </si>
  <si>
    <t xml:space="preserve">Re-check orderability; set Current</t>
  </si>
  <si>
    <t xml:space="preserve">Cisco Wireless 9177D</t>
  </si>
  <si>
    <t xml:space="preserve">Cisco Wireless 9177E</t>
  </si>
  <si>
    <t xml:space="preserve">Cisco Wireless 9176I</t>
  </si>
  <si>
    <t xml:space="preserve">Cisco Wireless 9176D1</t>
  </si>
  <si>
    <t xml:space="preserve">Cisco Wireless 9172H</t>
  </si>
  <si>
    <t xml:space="preserve">Ports / Ports notes</t>
  </si>
  <si>
    <t xml:space="preserve">Port count and notes disagree: 4 vs "1 uplink, 3 LAN, 1 passthrough"</t>
  </si>
  <si>
    <t xml:space="preserve">Check datasheet; store ports_uplink and ports_lan separately</t>
  </si>
  <si>
    <t xml:space="preserve">Catalyst 9105AXW</t>
  </si>
  <si>
    <t xml:space="preserve">Port count and notes disagree: 3 vs "1 uplink, 3 LAN"</t>
  </si>
  <si>
    <t xml:space="preserve">Meraki MR36H</t>
  </si>
  <si>
    <t xml:space="preserve">AIR-ANT2524V4C-R/RS</t>
  </si>
  <si>
    <t xml:space="preserve">Antenna Model</t>
  </si>
  <si>
    <t xml:space="preserve">Two PIDs or a spare suffix in one cell; the SKU bar would print a non-orderable string</t>
  </si>
  <si>
    <t xml:space="preserve">One PID per row (e.g. AIR-ANT2524V4C-R and AIR-ANT2524V4C-RS)</t>
  </si>
  <si>
    <t xml:space="preserve">AIR-ANT2544V4M-R/RS</t>
  </si>
  <si>
    <t xml:space="preserve">AIR-ANT2566P4W-R/RS</t>
  </si>
  <si>
    <t xml:space="preserve">AIR-ANT2566D4M-R/RS</t>
  </si>
  <si>
    <t xml:space="preserve">AIR-ANT2513P4M-N/NS</t>
  </si>
  <si>
    <t xml:space="preserve">AIR-ANT2524DB-R/=</t>
  </si>
  <si>
    <t xml:space="preserve">AIR-ANT2524DG-R/=</t>
  </si>
  <si>
    <t xml:space="preserve">AIR-ANT2524DW-R/=</t>
  </si>
  <si>
    <t xml:space="preserve">IW antennas (rows 94–114)</t>
  </si>
  <si>
    <t xml:space="preserve">Datasheet</t>
  </si>
  <si>
    <t xml:space="preserve">No datasheet link</t>
  </si>
  <si>
    <t xml:space="preserve">Add IW antenna guide link</t>
  </si>
  <si>
    <t xml:space="preserve">(matching logic)</t>
  </si>
  <si>
    <t xml:space="preserve">Compatible AP</t>
  </si>
  <si>
    <t xml:space="preserve">Fuzzy substring matching (e.g. "MR46" is a substring of "MR46E") can attach antennas to the wrong AP</t>
  </si>
  <si>
    <t xml:space="preserve">Exact PID join table: antenna_pid ↔ ap_pid</t>
  </si>
  <si>
    <t xml:space="preserve">Description</t>
  </si>
  <si>
    <t xml:space="preserve">Description is just "Legacy"</t>
  </si>
  <si>
    <t xml:space="preserve">Real description + adapter needed</t>
  </si>
  <si>
    <t xml:space="preserve">C-ANT9101</t>
  </si>
  <si>
    <t xml:space="preserve">C-ANT9102</t>
  </si>
  <si>
    <t xml:space="preserve">C-ANT9103</t>
  </si>
  <si>
    <t xml:space="preserve">MA-ANT-3-C6</t>
  </si>
  <si>
    <t xml:space="preserve">MA-ANT-3-D6</t>
  </si>
  <si>
    <t xml:space="preserve">MA-ANT-3-E6</t>
  </si>
  <si>
    <t xml:space="preserve">MA-ANT-3-F6</t>
  </si>
  <si>
    <t xml:space="preserve">Orphan row "Connectors: N-Male" (connector note split from the antenna above)</t>
  </si>
  <si>
    <t xml:space="preserve">Merge into the previous row as connector field</t>
  </si>
  <si>
    <t xml:space="preserve">Orphan row "Connectors: N-Female Bulkhead" (connector note split from the antenna above)</t>
  </si>
  <si>
    <t xml:space="preserve">AIR-ANT2566P4W-R=</t>
  </si>
  <si>
    <t xml:space="preserve">Typo "Directionnel"</t>
  </si>
  <si>
    <t xml:space="preserve">Directional</t>
  </si>
  <si>
    <t xml:space="preserve">IW-ANT-PNL5615-NS</t>
  </si>
  <si>
    <t xml:space="preserve">Copy-paste artifact (duplicated text / trailing "Hide")</t>
  </si>
  <si>
    <t xml:space="preserve">Clean description</t>
  </si>
  <si>
    <t xml:space="preserve">IW-ANT-OMV-2567-N</t>
  </si>
  <si>
    <t xml:space="preserve">(row)</t>
  </si>
  <si>
    <t xml:space="preserve">Duplicate of row 95</t>
  </si>
  <si>
    <t xml:space="preserve">Delete</t>
  </si>
  <si>
    <t xml:space="preserve">IW-ANT-OMH-2567-N</t>
  </si>
  <si>
    <t xml:space="preserve">Duplicate of row 96</t>
  </si>
  <si>
    <t xml:space="preserve">IW-ANT-GNSS-SMA</t>
  </si>
  <si>
    <t xml:space="preserve">IW-ANT-OMV-55-N</t>
  </si>
  <si>
    <t xml:space="preserve">IW-ANT-OMH-55-N</t>
  </si>
  <si>
    <t xml:space="preserve">IW-ANT-SKD-513-Q</t>
  </si>
  <si>
    <t xml:space="preserve">Duplicate of row 98</t>
  </si>
  <si>
    <t xml:space="preserve">IW-ANT-SKS-514-Q</t>
  </si>
  <si>
    <t xml:space="preserve">Duplicate of row 99</t>
  </si>
  <si>
    <t xml:space="preserve">Empty row</t>
  </si>
  <si>
    <t xml:space="preserve">PIM types / NIM types / SM types</t>
  </si>
  <si>
    <t xml:space="preserve">Module compatibility is stored twice: these columns and router-modules.csv "Supported router models" disagree (e.g. C8200 lists P-LTEA7-EAL here, router-modules says P-LTEA-EA)</t>
  </si>
  <si>
    <t xml:space="preserve">One compatibility table: module_pid ↔ router_pid; drop the free-text type columns</t>
  </si>
  <si>
    <t xml:space="preserve">C8200-1N-4T</t>
  </si>
  <si>
    <t xml:space="preserve">End-of-Sale announced, last order 2027-07-31; no lifecycle field to show it</t>
  </si>
  <si>
    <t xml:space="preserve">Set lifecycle=eos_announced, last_order=2027-07-31, replacement=C8235-E-G2</t>
  </si>
  <si>
    <t xml:space="preserve">C8200L-1N-4T</t>
  </si>
  <si>
    <t xml:space="preserve">Set lifecycle=eos_announced, last_order=2027-07-31, replacement=C8231-E-G2</t>
  </si>
  <si>
    <t xml:space="preserve">C8300-2N2S-4T2X</t>
  </si>
  <si>
    <t xml:space="preserve">Set lifecycle=eos_announced, last_order=2027-07-31, replacement=None listed by Cisco</t>
  </si>
  <si>
    <t xml:space="preserve">C8300-2N2S-6T</t>
  </si>
  <si>
    <t xml:space="preserve">C8300-1N1S-4T2X</t>
  </si>
  <si>
    <t xml:space="preserve">End-of-Sale announced, last order 2027-01-31; no lifecycle field to show it</t>
  </si>
  <si>
    <t xml:space="preserve">Set lifecycle=eos_announced, last_order=2027-01-31, replacement=C8375-E-G2</t>
  </si>
  <si>
    <t xml:space="preserve">C8300-1N1S-6T</t>
  </si>
  <si>
    <t xml:space="preserve">C8500-12X</t>
  </si>
  <si>
    <t xml:space="preserve">Set lifecycle=eos_announced, last_order=2027-01-31, replacement=Catalyst 8500-G2 (verify per bulletin)</t>
  </si>
  <si>
    <t xml:space="preserve">C8500-12X4QC</t>
  </si>
  <si>
    <t xml:space="preserve">C8500-20X6C</t>
  </si>
  <si>
    <t xml:space="preserve">Set lifecycle=eos_announced, last_order=2027-07-31, replacement=Catalyst 8500-G2 (verify per bulletin)</t>
  </si>
  <si>
    <t xml:space="preserve">C8500L-8S4X</t>
  </si>
  <si>
    <t xml:space="preserve">Set lifecycle=eos_announced, last_order=2027-01-31, replacement=C8475-G2</t>
  </si>
  <si>
    <t xml:space="preserve">ISR1100-4G</t>
  </si>
  <si>
    <t xml:space="preserve">End-of-Sale since 2026-07-28; still listed as a normal model</t>
  </si>
  <si>
    <t xml:space="preserve">Move to "Eski modeller"; replacement: Catalyst 8100-G2 secure routers</t>
  </si>
  <si>
    <t xml:space="preserve">ISR1100-4GLTEGB</t>
  </si>
  <si>
    <t xml:space="preserve">ISR1100-6G</t>
  </si>
  <si>
    <t xml:space="preserve">ISR1100X-4G</t>
  </si>
  <si>
    <t xml:space="preserve">ISR1100X-6G</t>
  </si>
  <si>
    <t xml:space="preserve">C1101-4P</t>
  </si>
  <si>
    <t xml:space="preserve">Move to "Eski modeller"; replacement: C1121-4P / C1121-4PLTEP</t>
  </si>
  <si>
    <t xml:space="preserve">C1101-4PLTEP</t>
  </si>
  <si>
    <t xml:space="preserve">C1109-2PLTEGB</t>
  </si>
  <si>
    <t xml:space="preserve">C1111-4P</t>
  </si>
  <si>
    <t xml:space="preserve">Move to "Eski modeller"; replacement: C1121-4P / C1121-8P / C1121X-8P</t>
  </si>
  <si>
    <t xml:space="preserve">C1111-4P-DNA</t>
  </si>
  <si>
    <t xml:space="preserve">C1111-8P</t>
  </si>
  <si>
    <t xml:space="preserve">C1111-8P-DNA</t>
  </si>
  <si>
    <t xml:space="preserve">C1111X-8P</t>
  </si>
  <si>
    <t xml:space="preserve">C921-4P</t>
  </si>
  <si>
    <t xml:space="preserve">Move to "Eski modeller"; replacement: C1121 / Catalyst 8100-G2</t>
  </si>
  <si>
    <t xml:space="preserve">C921-4PLTEGB</t>
  </si>
  <si>
    <t xml:space="preserve">C926-4P</t>
  </si>
  <si>
    <t xml:space="preserve">C927-4P</t>
  </si>
  <si>
    <t xml:space="preserve">C927-4PM</t>
  </si>
  <si>
    <t xml:space="preserve">C927-4PLTEGB</t>
  </si>
  <si>
    <t xml:space="preserve">C931-4P</t>
  </si>
  <si>
    <t xml:space="preserve">MX67C</t>
  </si>
  <si>
    <t xml:space="preserve">End-of-Sale announced, last order 2026-11-27; no lifecycle field to show it</t>
  </si>
  <si>
    <t xml:space="preserve">Set lifecycle=eos_announced, last_order=2026-11-27, replacement=C8111-C-G2-MX / C8121-CW-G2-MX</t>
  </si>
  <si>
    <t xml:space="preserve">MX68CW</t>
  </si>
  <si>
    <t xml:space="preserve">MX84</t>
  </si>
  <si>
    <t xml:space="preserve">End-of-Sale since 2021-10-31; still listed as a normal model</t>
  </si>
  <si>
    <t xml:space="preserve">Move to "Eski modeller"; replacement: MX85</t>
  </si>
  <si>
    <t xml:space="preserve">Z3</t>
  </si>
  <si>
    <t xml:space="preserve">End-of-Sale since 2024-09-04; still listed as a normal model</t>
  </si>
  <si>
    <t xml:space="preserve">Move to "Eski modeller"; replacement: Z4 / Z4C</t>
  </si>
  <si>
    <t xml:space="preserve">Z3C</t>
  </si>
  <si>
    <t xml:space="preserve">ASR-902</t>
  </si>
  <si>
    <t xml:space="preserve">Throughput</t>
  </si>
  <si>
    <t xml:space="preserve">Throughput blank; any throughput query silently excludes the model</t>
  </si>
  <si>
    <t xml:space="preserve">Fill from datasheet or mark not_applicable (SP platforms)</t>
  </si>
  <si>
    <t xml:space="preserve">ASR-903</t>
  </si>
  <si>
    <t xml:space="preserve">ASR-907</t>
  </si>
  <si>
    <t xml:space="preserve">ASR-914</t>
  </si>
  <si>
    <t xml:space="preserve">ASR-920-12CZ</t>
  </si>
  <si>
    <t xml:space="preserve">ASR-920-12SZ</t>
  </si>
  <si>
    <t xml:space="preserve">ASR-920-12SZ-IM</t>
  </si>
  <si>
    <t xml:space="preserve">ASR-920-24SZ-IM</t>
  </si>
  <si>
    <t xml:space="preserve">ASR-920-24SZ-M</t>
  </si>
  <si>
    <t xml:space="preserve">ASR-920-24TZ-M</t>
  </si>
  <si>
    <t xml:space="preserve">ASR-920-4SZ</t>
  </si>
  <si>
    <t xml:space="preserve">C8211-G2</t>
  </si>
  <si>
    <t xml:space="preserve">C8221-G2</t>
  </si>
  <si>
    <t xml:space="preserve">C8221L-G2</t>
  </si>
  <si>
    <t xml:space="preserve">C8225-G2</t>
  </si>
  <si>
    <t xml:space="preserve">C8650-G2</t>
  </si>
  <si>
    <t xml:space="preserve">Throughput / Advanced Security Throughput</t>
  </si>
  <si>
    <t xml:space="preserve">Advanced-security throughput (1889 Mbps) exceeds total throughput (1.6 Gbps); ISR1100X rows show lower throughput than non-X</t>
  </si>
  <si>
    <t xml:space="preserve">Re-check ISR1100 values (columns look shifted) — model is EoS anyway</t>
  </si>
  <si>
    <t xml:space="preserve">C1131-8P</t>
  </si>
  <si>
    <t xml:space="preserve">Not an orderable PID: every C1131 ships with an embedded Wi-Fi 6 AP (W + domain suffix)</t>
  </si>
  <si>
    <t xml:space="preserve">Use the real PIDs, e.g. C1131-8PWE / C1131X-8PWE</t>
  </si>
  <si>
    <t xml:space="preserve">C1131X-8P</t>
  </si>
  <si>
    <t xml:space="preserve">N540X-6Z18G</t>
  </si>
  <si>
    <t xml:space="preserve">N540X-8Z16G</t>
  </si>
  <si>
    <t xml:space="preserve">N540X-4Z14G2Q</t>
  </si>
  <si>
    <t xml:space="preserve">N540-6Z14S</t>
  </si>
  <si>
    <t xml:space="preserve">N540-6Z18G</t>
  </si>
  <si>
    <t xml:space="preserve">N540X-6Z6G</t>
  </si>
  <si>
    <t xml:space="preserve">N540X-16Z4G8Q2C</t>
  </si>
  <si>
    <t xml:space="preserve">N540X-12Z16G</t>
  </si>
  <si>
    <t xml:space="preserve">N540-28Z4C</t>
  </si>
  <si>
    <t xml:space="preserve">N540-12Z20G</t>
  </si>
  <si>
    <t xml:space="preserve">N540X-16Z8Q2C-D</t>
  </si>
  <si>
    <t xml:space="preserve">N540-24Q8L2DD</t>
  </si>
  <si>
    <t xml:space="preserve">N540-24Q2C2DD</t>
  </si>
  <si>
    <t xml:space="preserve">IR8340</t>
  </si>
  <si>
    <t xml:space="preserve">IR8140H</t>
  </si>
  <si>
    <t xml:space="preserve">IR8140H-P</t>
  </si>
  <si>
    <t xml:space="preserve">IR1833</t>
  </si>
  <si>
    <t xml:space="preserve">IR1800-series model grouped under IR8100</t>
  </si>
  <si>
    <t xml:space="preserve">Supertype IR1800</t>
  </si>
  <si>
    <t xml:space="preserve">IR1835</t>
  </si>
  <si>
    <t xml:space="preserve">IR1101</t>
  </si>
  <si>
    <t xml:space="preserve">IR1101-A</t>
  </si>
  <si>
    <t xml:space="preserve">ASR-9922</t>
  </si>
  <si>
    <t xml:space="preserve">ASR-9912</t>
  </si>
  <si>
    <t xml:space="preserve">ASR-9910</t>
  </si>
  <si>
    <t xml:space="preserve">ASR-9906</t>
  </si>
  <si>
    <t xml:space="preserve">ASR-9904</t>
  </si>
  <si>
    <t xml:space="preserve">ASR-9010</t>
  </si>
  <si>
    <t xml:space="preserve">ASR-9006</t>
  </si>
  <si>
    <t xml:space="preserve">ASR 9000v2</t>
  </si>
  <si>
    <t xml:space="preserve">Device Type</t>
  </si>
  <si>
    <t xml:space="preserve">Listed as a Virtual router; the ASR 9000v is an nV satellite device</t>
  </si>
  <si>
    <t xml:space="preserve">Verify the product and Device Type</t>
  </si>
  <si>
    <t xml:space="preserve">NCS 5500 / 5700 rows</t>
  </si>
  <si>
    <t xml:space="preserve">Mixed PID spelling: "NCS 57B1-6D24-SYS", "NCS-57D2-18DD-SYS", "NCS 5501-SE" vs "NCS-5501"</t>
  </si>
  <si>
    <t xml:space="preserve">Use exact Cisco PIDs (hyphenated)</t>
  </si>
  <si>
    <t xml:space="preserve">37 rows</t>
  </si>
  <si>
    <t xml:space="preserve">List Order</t>
  </si>
  <si>
    <t xml:space="preserve">List Order blank; those series sort last (999)</t>
  </si>
  <si>
    <t xml:space="preserve">Fill, or sort by a series table</t>
  </si>
  <si>
    <t xml:space="preserve">C8111-C-G2-MX</t>
  </si>
  <si>
    <t xml:space="preserve">(missing row)</t>
  </si>
  <si>
    <t xml:space="preserve">Migration target for End-of-Sale MX67C is not in the data</t>
  </si>
  <si>
    <t xml:space="preserve">Add row</t>
  </si>
  <si>
    <t xml:space="preserve">C8000V</t>
  </si>
  <si>
    <t xml:space="preserve">Deployment Category</t>
  </si>
  <si>
    <t xml:space="preserve">"Virtual deployment" has no filter button and two spellings</t>
  </si>
  <si>
    <t xml:space="preserve">One value "virtual" and add the button, or drop the category for virtual routers</t>
  </si>
  <si>
    <t xml:space="preserve">vMX-S</t>
  </si>
  <si>
    <t xml:space="preserve">"Virtual" has no filter button and two spellings</t>
  </si>
  <si>
    <t xml:space="preserve">vMX-M</t>
  </si>
  <si>
    <t xml:space="preserve">vMX-L</t>
  </si>
  <si>
    <t xml:space="preserve">Trailing space in Supertype "IR8100 "</t>
  </si>
  <si>
    <t xml:space="preserve">Trim</t>
  </si>
  <si>
    <t xml:space="preserve">Trailing space in Supertype "IR1101 "</t>
  </si>
  <si>
    <t xml:space="preserve">P-LTEA-EA</t>
  </si>
  <si>
    <t xml:space="preserve">Link has no https:// (or is wrapped in parentheses), so the browser treats it as a relative path and it breaks</t>
  </si>
  <si>
    <t xml:space="preserve">Full https:// URL to cisco.com</t>
  </si>
  <si>
    <t xml:space="preserve">P-LTEA7-EAL</t>
  </si>
  <si>
    <t xml:space="preserve">P-LTEA7-JP</t>
  </si>
  <si>
    <t xml:space="preserve">LTE Pluggable</t>
  </si>
  <si>
    <t xml:space="preserve">C-SM-16P4M2X</t>
  </si>
  <si>
    <t xml:space="preserve">C-SM-40P8M2X</t>
  </si>
  <si>
    <t xml:space="preserve">UCS-E Series</t>
  </si>
  <si>
    <t xml:space="preserve">C-NIM-8M</t>
  </si>
  <si>
    <t xml:space="preserve">C-NIM-4X</t>
  </si>
  <si>
    <t xml:space="preserve">C-NIM-8T</t>
  </si>
  <si>
    <t xml:space="preserve">C-NIM-2T</t>
  </si>
  <si>
    <t xml:space="preserve">C-NIM-1M</t>
  </si>
  <si>
    <t xml:space="preserve">C-NIM-1X</t>
  </si>
  <si>
    <t xml:space="preserve">NIM-ES2-4</t>
  </si>
  <si>
    <t xml:space="preserve">NIM-ES2-8</t>
  </si>
  <si>
    <t xml:space="preserve">A900-IMA8S</t>
  </si>
  <si>
    <t xml:space="preserve">A900-IMA8T</t>
  </si>
  <si>
    <t xml:space="preserve">A900-IMA1X</t>
  </si>
  <si>
    <t xml:space="preserve">A900-IMA16D</t>
  </si>
  <si>
    <t xml:space="preserve">A900-IMA2Z</t>
  </si>
  <si>
    <t xml:space="preserve">N560-IMA-2C</t>
  </si>
  <si>
    <t xml:space="preserve">A900-IMA-8Z</t>
  </si>
  <si>
    <t xml:space="preserve">A900-IMA-8CS1Z</t>
  </si>
  <si>
    <t xml:space="preserve">N560-IMA-1W</t>
  </si>
  <si>
    <t xml:space="preserve">N560-IMA-2C-DD</t>
  </si>
  <si>
    <t xml:space="preserve">A900-IMA-8Z-L</t>
  </si>
  <si>
    <t xml:space="preserve">N560-IMA-8Q/4L</t>
  </si>
  <si>
    <t xml:space="preserve">"C8200", "C8300", "ISR1000"</t>
  </si>
  <si>
    <t xml:space="preserve">Supported router models</t>
  </si>
  <si>
    <t xml:space="preserve">Substring match: "C8200" also matches every C8200-G2 router; "ISR1000" matches all 38 ISR1000 models incl. ISR1100s with no PIM slot</t>
  </si>
  <si>
    <t xml:space="preserve">Explicit router PIDs in the compatibility table</t>
  </si>
  <si>
    <t xml:space="preserve">NIM-1MFT-T1/E1, NIM-PVDM-*, voice NIMs, P-5GS6-R16SA-GL, C-NIM-WAN-2X/4S</t>
  </si>
  <si>
    <t xml:space="preserve">Referenced in routers.csv NIM/PIM types but absent here, so the configurator can't offer them</t>
  </si>
  <si>
    <t xml:space="preserve">Add rows (voice and 5G are common Turkish bid items)</t>
  </si>
  <si>
    <t xml:space="preserve">Module name</t>
  </si>
  <si>
    <t xml:space="preserve">Family name, not an orderable PID; the SKU bar would print it</t>
  </si>
  <si>
    <t xml:space="preserve">One row per real PID (e.g. P-LTEA7-EAL, UCS-E1100D-M6)</t>
  </si>
  <si>
    <t xml:space="preserve">Only the name is filled; module can never match a router</t>
  </si>
  <si>
    <t xml:space="preserve">Complete or delete</t>
  </si>
  <si>
    <t xml:space="preserve">N9K-C9348Y12C-SE1</t>
  </si>
  <si>
    <t xml:space="preserve">Downlink Speeds</t>
  </si>
  <si>
    <t xml:space="preserve">Uplink speeds are written into the downlink field ("; 40/100G uplink"), so the model matches the 100G downlink filter</t>
  </si>
  <si>
    <t xml:space="preserve">Separate downlink_gbps and uplink_gbps arrays</t>
  </si>
  <si>
    <t xml:space="preserve">N9K-C9396Y12C-SE1</t>
  </si>
  <si>
    <t xml:space="preserve">N9K-C9396T12C-SE1</t>
  </si>
  <si>
    <t xml:space="preserve">N9K-C93180YC-FX3</t>
  </si>
  <si>
    <t xml:space="preserve">N9K-C93108TC-FX3</t>
  </si>
  <si>
    <t xml:space="preserve">N9K-C93108TC-FX3P</t>
  </si>
  <si>
    <t xml:space="preserve">N9K-C93180YC-FX3H</t>
  </si>
  <si>
    <t xml:space="preserve">N9K-C93108TC-FX3H</t>
  </si>
  <si>
    <t xml:space="preserve">N9K-C9348GC-FX3</t>
  </si>
  <si>
    <t xml:space="preserve">N9K-C9348GC-FX3PH</t>
  </si>
  <si>
    <t xml:space="preserve">N9K-C93360YC-FX2</t>
  </si>
  <si>
    <t xml:space="preserve">N9K-C93240YC-FX2</t>
  </si>
  <si>
    <t xml:space="preserve">N9K-C93216TC-FX2</t>
  </si>
  <si>
    <t xml:space="preserve">N9K-C9348GC-FXP</t>
  </si>
  <si>
    <t xml:space="preserve">N9K-C9364C</t>
  </si>
  <si>
    <t xml:space="preserve">End-of-Sale since 2024-01-30; still listed as a normal model</t>
  </si>
  <si>
    <t xml:space="preserve">Move to "Eski modeller"; replacement: N9K-C9364C-GX (already in data)</t>
  </si>
  <si>
    <t xml:space="preserve">N3K-C36180YC-R</t>
  </si>
  <si>
    <t xml:space="preserve">DS-C9706 (MDS 9706)</t>
  </si>
  <si>
    <t xml:space="preserve">"(no VXLAN/EVPN)" contains the words, so this SAN switch matches the VXLAN and EVPN filters</t>
  </si>
  <si>
    <t xml:space="preserve">Feature flags as booleans; never negatives in free text</t>
  </si>
  <si>
    <t xml:space="preserve">DS-C9710 (MDS 9710)</t>
  </si>
  <si>
    <t xml:space="preserve">DS-C9718 (MDS 9718)</t>
  </si>
  <si>
    <t xml:space="preserve">DS-C9396V (MDS 9396V)</t>
  </si>
  <si>
    <t xml:space="preserve">DS-C9396T (MDS 9396T)</t>
  </si>
  <si>
    <t xml:space="preserve">DS-C9148V (MDS 9148V)</t>
  </si>
  <si>
    <t xml:space="preserve">DS-C9124V (MDS 9124V)</t>
  </si>
  <si>
    <t xml:space="preserve">DS-C9132T (MDS 9132T)</t>
  </si>
  <si>
    <t xml:space="preserve">DS-C9148T (MDS 9148T)</t>
  </si>
  <si>
    <t xml:space="preserve">DS-C9220I (MDS 9220i)</t>
  </si>
  <si>
    <t xml:space="preserve">N9364E-SG2X-O</t>
  </si>
  <si>
    <t xml:space="preserve">(several)</t>
  </si>
  <si>
    <t xml:space="preserve">Placeholder "verify" values shown to users</t>
  </si>
  <si>
    <t xml:space="preserve">Fill from datasheet or hide the field until verified</t>
  </si>
  <si>
    <t xml:space="preserve">N9364E-SG2X-Q</t>
  </si>
  <si>
    <t xml:space="preserve">N9K-C93400LD-H1</t>
  </si>
  <si>
    <t xml:space="preserve">N9K-C9364C-H1</t>
  </si>
  <si>
    <t xml:space="preserve">N9324C-SE1U</t>
  </si>
  <si>
    <t xml:space="preserve">26, 29</t>
  </si>
  <si>
    <t xml:space="preserve">N9K-C9348Y12C-SE1 / N9348Y12C-SE1</t>
  </si>
  <si>
    <t xml:space="preserve">(rows)</t>
  </si>
  <si>
    <t xml:space="preserve">Likely the same switch twice with conflicting port layouts (48+12 vs 32+16+12)</t>
  </si>
  <si>
    <t xml:space="preserve">Keep one row with the datasheet layout</t>
  </si>
  <si>
    <t xml:space="preserve">Free text ("Up to ~43 Tbps (derived)", "~4.8 Tbps") can't be filtered or compared</t>
  </si>
  <si>
    <t xml:space="preserve">throughput_tbps number + note</t>
  </si>
  <si>
    <t xml:space="preserve">N9K-X9736C-FX</t>
  </si>
  <si>
    <t xml:space="preserve">Set lifecycle=eos_announced, last_order=2027-07-31, replacement=N9K-X9736C-FX3 (in data)</t>
  </si>
  <si>
    <t xml:space="preserve">N9K-X9732C-FX</t>
  </si>
  <si>
    <t xml:space="preserve">End-of-Sale announced, last order 2027-01-29; no lifecycle field to show it</t>
  </si>
  <si>
    <t xml:space="preserve">Set lifecycle=eos_announced, last_order=2027-01-29, replacement=N9K-X9736C-FX3 (in data)</t>
  </si>
  <si>
    <t xml:space="preserve">DS-X9648-1536K9</t>
  </si>
  <si>
    <t xml:space="preserve">Card Type</t>
  </si>
  <si>
    <t xml:space="preserve">"Extension" used for an MDS switching module</t>
  </si>
  <si>
    <t xml:space="preserve">Card Type = Line Card</t>
  </si>
  <si>
    <t xml:space="preserve">DS-X9748-3072-TK9</t>
  </si>
  <si>
    <t xml:space="preserve">DS-X9648-1536TLK9</t>
  </si>
  <si>
    <t xml:space="preserve">DS-X9748-3072-VK9</t>
  </si>
  <si>
    <t xml:space="preserve">N9K-X9400-8D</t>
  </si>
  <si>
    <t xml:space="preserve">Detail</t>
  </si>
  <si>
    <t xml:space="preserve">DS-X9706-FAB3</t>
  </si>
  <si>
    <t xml:space="preserve">DS-X9710-FAB3</t>
  </si>
  <si>
    <t xml:space="preserve">Models</t>
  </si>
  <si>
    <t xml:space="preserve">Verified status</t>
  </si>
  <si>
    <t xml:space="preserve">End of sale (last order)</t>
  </si>
  <si>
    <t xml:space="preserve">Last date of support</t>
  </si>
  <si>
    <t xml:space="preserve">Replacement</t>
  </si>
  <si>
    <t xml:space="preserve">Source</t>
  </si>
  <si>
    <t xml:space="preserve">ISR1100-4G, ISR1100-4GLTEGB, ISR1100-6G, ISR1100X-4G, ISR1100X-6G</t>
  </si>
  <si>
    <t xml:space="preserve">End-of-Sale (past)</t>
  </si>
  <si>
    <t xml:space="preserve">2026-07-28</t>
  </si>
  <si>
    <t xml:space="preserve">Catalyst 8100-G2 secure routers</t>
  </si>
  <si>
    <t xml:space="preserve">Remove → Eski modeller</t>
  </si>
  <si>
    <t xml:space="preserve">https://www.cisco.com/c/en/us/products/collateral/routers/1000-series-integrated-services-routers-isr/select-isr1100-product-eol.html</t>
  </si>
  <si>
    <t xml:space="preserve">C1101-4P, C1101-4PLTEP, C1109-2PLTEGB</t>
  </si>
  <si>
    <t xml:space="preserve">C1121-4P / C1121-4PLTEP</t>
  </si>
  <si>
    <t xml:space="preserve">https://www.cisco.com/c/en/us/products/collateral/routers/1000-series-integrated-services-routers-isr/select-isr-1101-1109-series-routers-eol.html</t>
  </si>
  <si>
    <t xml:space="preserve">C1111-4P, C1111-4P-DNA, C1111-8P, C1111-8P-DNA, C1111X-8P</t>
  </si>
  <si>
    <t xml:space="preserve">C1121-4P / C1121-8P / C1121X-8P</t>
  </si>
  <si>
    <t xml:space="preserve">https://www.cisco.com/c/en/us/products/collateral/routers/1000-series-integrated-services-routers-isr/isr-1111-series-ethernet-routers-eol.html</t>
  </si>
  <si>
    <t xml:space="preserve">C921-4P, C921-4PLTEGB, C926-4P, C927-4P, C927-4PM, C927-4PLTEGB, C931-4P</t>
  </si>
  <si>
    <t xml:space="preserve">C1121 / Catalyst 8100-G2</t>
  </si>
  <si>
    <t xml:space="preserve">https://www.cisco.com/c/en/us/products/collateral/routers/900-series-integrated-services-routers-isr/isr-900-series-routers-licenses-accessories-eol.html</t>
  </si>
  <si>
    <t xml:space="preserve">C8300-1N1S-4T2X, C8300-1N1S-6T</t>
  </si>
  <si>
    <t xml:space="preserve">EoS announced</t>
  </si>
  <si>
    <t xml:space="preserve">2027-01-31</t>
  </si>
  <si>
    <t xml:space="preserve">2032-01-31</t>
  </si>
  <si>
    <t xml:space="preserve">C8375-E-G2</t>
  </si>
  <si>
    <t xml:space="preserve">Keep with badge; exclude from selector</t>
  </si>
  <si>
    <t xml:space="preserve">https://www.cisco.com/c/en/us/products/collateral/networking/sdwan-routers/catalyst-8000-edge-platforms/catalyst-c8500l-8s4x-4t2x-c8300-1n1s-6t-eol.html</t>
  </si>
  <si>
    <t xml:space="preserve">C8475-G2</t>
  </si>
  <si>
    <t xml:space="preserve">C8500-12X, C8500-12X4QC</t>
  </si>
  <si>
    <t xml:space="preserve">Catalyst 8500-G2 (verify per bulletin)</t>
  </si>
  <si>
    <t xml:space="preserve">https://www.cisco.com/c/en/us/products/collateral/networking/sdwan-routers/catalyst-8000-edge-platforms/catalyst-c8500-12x-c8500-12x4qc-eol.html</t>
  </si>
  <si>
    <t xml:space="preserve">2027-07-31</t>
  </si>
  <si>
    <t xml:space="preserve">2032-07-31</t>
  </si>
  <si>
    <t xml:space="preserve">C8235-E-G2</t>
  </si>
  <si>
    <t xml:space="preserve">https://www.cisco.com/c/en/us/products/collateral/networking/sdwan-routers/catalyst-8000-edge-platforms/catalyst-c8300-2n2s-4t2x-6t-1n-4t-c8200l-eol.html</t>
  </si>
  <si>
    <t xml:space="preserve">C8231-E-G2</t>
  </si>
  <si>
    <t xml:space="preserve">C8300-2N2S-4T2X, C8300-2N2S-6T</t>
  </si>
  <si>
    <t xml:space="preserve">None listed by Cisco</t>
  </si>
  <si>
    <t xml:space="preserve">https://www.cisco.com/c/en/us/products/collateral/networking/sdwan-routers/catalyst-8000-edge-platforms/catalyst-c8500-20x6c-eol.html</t>
  </si>
  <si>
    <t xml:space="preserve">2021-10-31</t>
  </si>
  <si>
    <t xml:space="preserve">2026-10-31</t>
  </si>
  <si>
    <t xml:space="preserve">MX85</t>
  </si>
  <si>
    <t xml:space="preserve">Remove (support ends this month)</t>
  </si>
  <si>
    <t xml:space="preserve">https://documentation.meraki.com/General_Administration/Other_Topics/Product_End-of-Life_(EOL)_Policies</t>
  </si>
  <si>
    <t xml:space="preserve">MX67C, MX68CW</t>
  </si>
  <si>
    <t xml:space="preserve">2026-11-27</t>
  </si>
  <si>
    <t xml:space="preserve">2031-11-30</t>
  </si>
  <si>
    <t xml:space="preserve">C8111-C-G2-MX / C8121-CW-G2-MX</t>
  </si>
  <si>
    <t xml:space="preserve">https://www.cisco.com/c/en/us/products/collateral/security/meraki-cloud-managed-security-appliances/mx67c-mx68cw-eol.html</t>
  </si>
  <si>
    <t xml:space="preserve">Z3, Z3C</t>
  </si>
  <si>
    <t xml:space="preserve">2024-09-04</t>
  </si>
  <si>
    <t xml:space="preserve">2029-09-04</t>
  </si>
  <si>
    <t xml:space="preserve">Z4 / Z4C</t>
  </si>
  <si>
    <t xml:space="preserve">C1109-4PLTE2P</t>
  </si>
  <si>
    <t xml:space="preserve">Current (excluded from EOL15650)</t>
  </si>
  <si>
    <t xml:space="preserve">Keep</t>
  </si>
  <si>
    <t xml:space="preserve">MS210-24-HW, MS210-24P-HW, MS210-48-HW, MS210-48LP-HW, MS210-48FP-HW</t>
  </si>
  <si>
    <t xml:space="preserve">2026-04-30</t>
  </si>
  <si>
    <t xml:space="preserve">2031-04-30</t>
  </si>
  <si>
    <t xml:space="preserve">MS130 / MS150 (confirm per model)</t>
  </si>
  <si>
    <t xml:space="preserve">2026-10-29</t>
  </si>
  <si>
    <t xml:space="preserve">2031-10-31</t>
  </si>
  <si>
    <t xml:space="preserve">Keep with badge until 29 Oct, then remove</t>
  </si>
  <si>
    <t xml:space="preserve">https://www.cisco.com/c/en/us/products/collateral/networking/switches/meraki-switches/meraki-ms450-12x40g-aggregation-switch-eol.html</t>
  </si>
  <si>
    <t xml:space="preserve">C9500-16X, C9500-16X-2Q, C9500-NM-8X, C9500-NM-2Q</t>
  </si>
  <si>
    <t xml:space="preserve">C9500-24Y4C (NMs: none)</t>
  </si>
  <si>
    <t xml:space="preserve">https://www.cisco.com/c/en/us/products/collateral/switches/catalyst-9500-series-switches/c9500-16x-switch-nm-c9500-nm-8x-nm-2q-eol.html</t>
  </si>
  <si>
    <t xml:space="preserve">C9400-SUP-1, C9400-SUP-1XL</t>
  </si>
  <si>
    <t xml:space="preserve">2025-04-30</t>
  </si>
  <si>
    <t xml:space="preserve">2030-04-30</t>
  </si>
  <si>
    <t xml:space="preserve">C9400X-SUP-2 / C9400X-SUP-2XL (missing from data)</t>
  </si>
  <si>
    <t xml:space="preserve">Remove; add SUP-2 rows</t>
  </si>
  <si>
    <t xml:space="preserve">https://www.cisco.com/c/en/us/products/collateral/switches/catalyst-9400-series-switches/catalyst-9400-series-supervisor-module-eol.html</t>
  </si>
  <si>
    <t xml:space="preserve">CBS220 (16 models)</t>
  </si>
  <si>
    <t xml:space="preserve">Current (replacement in SF/SG220 bulletin)</t>
  </si>
  <si>
    <t xml:space="preserve">Keep; recheck yearly</t>
  </si>
  <si>
    <t xml:space="preserve">https://www.cisco.com/c/en/us/products/collateral/switches/small-business-220-series-smart-plus-switches/220-series-smart-switches-eol.html</t>
  </si>
  <si>
    <t xml:space="preserve">CBS110 (7 models), C9200 (9 models + NMs), IE-1000 (4 models)</t>
  </si>
  <si>
    <t xml:space="preserve">Not verified</t>
  </si>
  <si>
    <t xml:space="preserve">Verify on cisco.com EoL pages</t>
  </si>
  <si>
    <t xml:space="preserve">C9105/C9115/C9120/C9130 (10 rows), MR36/MR36H/MR44/MR46/MR46E</t>
  </si>
  <si>
    <t xml:space="preserve">EoS announced (CSV correct)</t>
  </si>
  <si>
    <t xml:space="preserve">2026-12-31</t>
  </si>
  <si>
    <t xml:space="preserve">2031-12-31</t>
  </si>
  <si>
    <t xml:space="preserve">CW917x Wi-Fi 7</t>
  </si>
  <si>
    <t xml:space="preserve">Catalyst 9124AXI/D/E, Catalyst 9136I</t>
  </si>
  <si>
    <t xml:space="preserve">Current (not in Wi-Fi 6 indoor bulletin)</t>
  </si>
  <si>
    <t xml:space="preserve">Keep; confirm 9136I on cisco.com</t>
  </si>
  <si>
    <t xml:space="preserve">https://www.xsnet.com.au/blogs/news/cisco-wifi-6-access-point-eol</t>
  </si>
  <si>
    <t xml:space="preserve">CW9177I, CW9177D, CW9177E</t>
  </si>
  <si>
    <t xml:space="preserve">CSV says "Shipping Sep 2026"</t>
  </si>
  <si>
    <t xml:space="preserve">Re-check; set Current if shipping</t>
  </si>
  <si>
    <t xml:space="preserve">IW9167E/I/E-HZ, IW9165E/D</t>
  </si>
  <si>
    <t xml:space="preserve">Blank in CSV</t>
  </si>
  <si>
    <t xml:space="preserve">MR28, MR57, MR76, MR78, MR86</t>
  </si>
  <si>
    <t xml:space="preserve">Current (not on Meraki EOL list)</t>
  </si>
  <si>
    <t xml:space="preserve">2024-01-30</t>
  </si>
  <si>
    <t xml:space="preserve">2029-01-31</t>
  </si>
  <si>
    <t xml:space="preserve">N9K-C9364C-GX (already in data)</t>
  </si>
  <si>
    <t xml:space="preserve">https://www.cisco.com/c/en/us/products/collateral/switches/nexus-9000-series-switches/nexus-9332c-9364c-fixed-spine-switch-eol.html</t>
  </si>
  <si>
    <t xml:space="preserve">N3K-C3548P-XL, N3K-C3524P-XL</t>
  </si>
  <si>
    <t xml:space="preserve">Current (replacements in 3524-X/3548-X bulletin)</t>
  </si>
  <si>
    <t xml:space="preserve">https://www.cisco.com/c/en/us/products/collateral/switches/nexus-3000-series-switches/nexus-3524-x-3548-x-eol.html</t>
  </si>
  <si>
    <t xml:space="preserve">N9K-C9348GC-FXP, N9K-C93240YC-FX2, N9K-C93360YC-FX2, N9K-C93216TC-FX2, DS-C9148T, DS-C9132T, DS-C9396T</t>
  </si>
  <si>
    <t xml:space="preserve">Verify (third-party trackers list FXP Cisco ONE bundle as EoS)</t>
  </si>
  <si>
    <t xml:space="preserve">N9K-X9736C-FX3 (in data)</t>
  </si>
  <si>
    <t xml:space="preserve">Keep with badge</t>
  </si>
  <si>
    <t xml:space="preserve">https://www.cisco.com/c/en/us/products/collateral/switches/nexus-9000-series-switches/n9500-cloud-scale-line-cards-eol.html</t>
  </si>
  <si>
    <t xml:space="preserve">2027-01-29</t>
  </si>
  <si>
    <t xml:space="preserve">https://www.cisco.com/c/en/us/products/collateral/switches/nexus-9000-series-switches/n9500-cloud-n9k-x9732c-fx-100g-eth-card-eol.pdf</t>
  </si>
  <si>
    <t xml:space="preserve">N9K-X97160YC-EX, N9K-X9788TC-FX, N9K-C9504-FM-E, N9K-C9508-FM-E2, N9K-C9516-FM-E2, N9K-X9636Q-R, DS-X9334-K9</t>
  </si>
  <si>
    <t xml:space="preserve">Verify (EX-generation siblings X9732C-EX/X9736C-EX are EoS)</t>
  </si>
  <si>
    <t xml:space="preserve">https://www.cisco.com/c/en/us/products/collateral/switches/nexus-9000-series-switches/nexus-9500-100g-n9k-x9732c-ex-n9k-x9736c-ex-eol.html</t>
  </si>
  <si>
    <t xml:space="preserve">Dates from Cisco/Meraki EoL bulletins (Table 1). C9136I/C9124AX status from a secondary source (xsnet.com.au) summarising Cisco's March 2026 Wi-Fi 6 indoor bulletin; confirm on cisco.com. Router dates for ISR1000/900/C8000 were researched in earlier sessions from the bulletins linked.</t>
  </si>
  <si>
    <t xml:space="preserve">Page</t>
  </si>
  <si>
    <t xml:space="preserve">Old logic</t>
  </si>
  <si>
    <t xml:space="preserve">What happens with this data</t>
  </si>
  <si>
    <t xml:space="preserve">Models affected</t>
  </si>
  <si>
    <t xml:space="preserve">Fix in the new build</t>
  </si>
  <si>
    <t xml:space="preserve">Switching</t>
  </si>
  <si>
    <t xml:space="preserve">bucketPortCount: &lt;8 / 9-23 / 24 / 48+</t>
  </si>
  <si>
    <t xml:space="preserve">25–47 ports return "Unknown"; C9500X-28C8D, C9500-32C, C9500-32QC disappear when any port filter is on. "&lt;8" also includes 8.</t>
  </si>
  <si>
    <t xml:space="preserve">Numeric "at least N ports" or buckets ≤8 / 9–16 / 17–28 / 29–47 / 48+</t>
  </si>
  <si>
    <t xml:space="preserve">Uplink filter = exact match on "1Gbps", "10Gbps"…</t>
  </si>
  <si>
    <t xml:space="preserve">Uplink Speed "Modular" (64) or blank (22) never matches, so C9300/C9300X/C9200/C9350 and chassis vanish under any uplink filter.</t>
  </si>
  <si>
    <t xml:space="preserve">uplink_gbps array including module-reachable speeds</t>
  </si>
  <si>
    <t xml:space="preserve">Layer 3 button = "Full L3" only</t>
  </si>
  <si>
    <t xml:space="preserve">"Basic L3" (49) is not selectable; L2 has two spellings.</t>
  </si>
  <si>
    <t xml:space="preserve">Three-way selector: L2 / Basic L3 / Full L3</t>
  </si>
  <si>
    <t xml:space="preserve">Features use every() (AND); other groups some() (OR)</t>
  </si>
  <si>
    <t xml:space="preserve">Picking two features means "must have both", unlike every other group, with no hint in the UI.</t>
  </si>
  <si>
    <t xml:space="preserve">All</t>
  </si>
  <si>
    <t xml:space="preserve">OR within a group, AND across groups; label features "must have"</t>
  </si>
  <si>
    <t xml:space="preserve">Wireless</t>
  </si>
  <si>
    <t xml:space="preserve">bandTokens splits on "/" and expects "2.4", "5", "6"</t>
  </si>
  <si>
    <t xml:space="preserve">IW9165E/D "5-Ghz / 6-Ghz" yields no bands; both disappear under any band filter.</t>
  </si>
  <si>
    <t xml:space="preserve">bands_ghz array in data</t>
  </si>
  <si>
    <t xml:space="preserve">Antenna filter uses every()</t>
  </si>
  <si>
    <t xml:space="preserve">Selecting Internal + External requires both on one AP → only IW9165D survives.</t>
  </si>
  <si>
    <t xml:space="preserve">OR within the group</t>
  </si>
  <si>
    <t xml:space="preserve">uplinkTokens regex</t>
  </si>
  <si>
    <t xml:space="preserve">Works on this data, but "1/2.5/5G" style strings would lose 1G and 5G; fragile.</t>
  </si>
  <si>
    <t xml:space="preserve">uplink_gbps array</t>
  </si>
  <si>
    <t xml:space="preserve">poeSet: substring "at"/"bt"</t>
  </si>
  <si>
    <t xml:space="preserve">Works on this data; any note containing "at" (e.g. "rated") would match 802.3at.</t>
  </si>
  <si>
    <t xml:space="preserve">poe_min, poe_full fields</t>
  </si>
  <si>
    <t xml:space="preserve">Management bucket from text</t>
  </si>
  <si>
    <t xml:space="preserve">"Cisco Business" → "Other": CBW models only appear under ALL.</t>
  </si>
  <si>
    <t xml:space="preserve">management array incl. embedded</t>
  </si>
  <si>
    <t xml:space="preserve">antennasFor: fuzzy substring</t>
  </si>
  <si>
    <t xml:space="preserve">"MR46" is a substring of "MR46E"; harmless today only because MR46 is internal-antenna.</t>
  </si>
  <si>
    <t xml:space="preserve">Exact join table</t>
  </si>
  <si>
    <t xml:space="preserve">Routing</t>
  </si>
  <si>
    <t xml:space="preserve">Throughput query compares numbers parsed from text</t>
  </si>
  <si>
    <t xml:space="preserve">44 models with blank Throughput are excluded from every throughput query.</t>
  </si>
  <si>
    <t xml:space="preserve">Numeric fields; "n/a" excluded explicitly with a note</t>
  </si>
  <si>
    <t xml:space="preserve">compatModulesFor: substring on "Supported router models"</t>
  </si>
  <si>
    <t xml:space="preserve">"C8200" attaches C8200 modules to C8200-G2 routers; "ISR1000" attaches P-LTEA-EA to 38 ISR1000 models.</t>
  </si>
  <si>
    <t xml:space="preserve">module_pid ↔ router_pid table</t>
  </si>
  <si>
    <t xml:space="preserve">Data Center</t>
  </si>
  <si>
    <t xml:space="preserve">speedTokens on Downlink Speeds</t>
  </si>
  <si>
    <t xml:space="preserve">15 leaves list "; 40/100G uplink" inside the downlink field and "100M" parses as 100G → false matches on the 100G downlink filter.</t>
  </si>
  <si>
    <t xml:space="preserve">downlink_gbps / uplink_gbps arrays</t>
  </si>
  <si>
    <t xml:space="preserve">Feature filter = substring</t>
  </si>
  <si>
    <t xml:space="preserve">All 10 MDS switches contain "(no VXLAN/EVPN)" and match the VXLAN and EVPN filters.</t>
  </si>
  <si>
    <t xml:space="preserve">Boolean feature flags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</si>
</sst>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8D7DA"/>
        <bgColor rgb="FFEEEEEE"/>
      </patternFill>
    </fill>
    <fill>
      <patternFill patternType="solid">
        <fgColor rgb="FFFFFF00"/>
        <bgColor rgb="FFFFFF00"/>
      </patternFill>
    </fill>
    <fill>
      <patternFill patternType="solid">
        <fgColor rgb="FFFFF3CD"/>
        <bgColor rgb="FFEEEEEE"/>
      </patternFill>
    </fill>
    <fill>
      <patternFill patternType="solid">
        <fgColor rgb="FFE7F1FB"/>
        <bgColor rgb="FFEEEEEE"/>
      </patternFill>
    </fill>
    <fill>
      <patternFill patternType="solid">
        <fgColor rgb="FFEEEEEE"/>
        <bgColor rgb="FFE7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F1FB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7F1FB"/>
      <rgbColor rgb="FF660066"/>
      <rgbColor rgb="FFFF8080"/>
      <rgbColor rgb="FF0563C1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cisco.com/c/en/us/products/collateral/routers/1000-series-integrated-services-routers-isr/select-isr1100-product-eol.html" TargetMode="External"/><Relationship Id="rId2" Type="http://schemas.openxmlformats.org/officeDocument/2006/relationships/hyperlink" Target="https://www.cisco.com/c/en/us/products/collateral/routers/1000-series-integrated-services-routers-isr/select-isr-1101-1109-series-routers-eol.html" TargetMode="External"/><Relationship Id="rId3" Type="http://schemas.openxmlformats.org/officeDocument/2006/relationships/hyperlink" Target="https://www.cisco.com/c/en/us/products/collateral/routers/1000-series-integrated-services-routers-isr/isr-1111-series-ethernet-routers-eol.html" TargetMode="External"/><Relationship Id="rId4" Type="http://schemas.openxmlformats.org/officeDocument/2006/relationships/hyperlink" Target="https://www.cisco.com/c/en/us/products/collateral/routers/900-series-integrated-services-routers-isr/isr-900-series-routers-licenses-accessories-eol.html" TargetMode="External"/><Relationship Id="rId5" Type="http://schemas.openxmlformats.org/officeDocument/2006/relationships/hyperlink" Target="https://www.cisco.com/c/en/us/products/collateral/networking/sdwan-routers/catalyst-8000-edge-platforms/catalyst-c8500l-8s4x-4t2x-c8300-1n1s-6t-eol.html" TargetMode="External"/><Relationship Id="rId6" Type="http://schemas.openxmlformats.org/officeDocument/2006/relationships/hyperlink" Target="https://www.cisco.com/c/en/us/products/collateral/networking/sdwan-routers/catalyst-8000-edge-platforms/catalyst-c8500l-8s4x-4t2x-c8300-1n1s-6t-eol.html" TargetMode="External"/><Relationship Id="rId7" Type="http://schemas.openxmlformats.org/officeDocument/2006/relationships/hyperlink" Target="https://www.cisco.com/c/en/us/products/collateral/networking/sdwan-routers/catalyst-8000-edge-platforms/catalyst-c8500-12x-c8500-12x4qc-eol.html" TargetMode="External"/><Relationship Id="rId8" Type="http://schemas.openxmlformats.org/officeDocument/2006/relationships/hyperlink" Target="https://www.cisco.com/c/en/us/products/collateral/networking/sdwan-routers/catalyst-8000-edge-platforms/catalyst-c8300-2n2s-4t2x-6t-1n-4t-c8200l-eol.html" TargetMode="External"/><Relationship Id="rId9" Type="http://schemas.openxmlformats.org/officeDocument/2006/relationships/hyperlink" Target="https://www.cisco.com/c/en/us/products/collateral/networking/sdwan-routers/catalyst-8000-edge-platforms/catalyst-c8300-2n2s-4t2x-6t-1n-4t-c8200l-eol.html" TargetMode="External"/><Relationship Id="rId10" Type="http://schemas.openxmlformats.org/officeDocument/2006/relationships/hyperlink" Target="https://www.cisco.com/c/en/us/products/collateral/networking/sdwan-routers/catalyst-8000-edge-platforms/catalyst-c8300-2n2s-4t2x-6t-1n-4t-c8200l-eol.html" TargetMode="External"/><Relationship Id="rId11" Type="http://schemas.openxmlformats.org/officeDocument/2006/relationships/hyperlink" Target="https://www.cisco.com/c/en/us/products/collateral/networking/sdwan-routers/catalyst-8000-edge-platforms/catalyst-c8500-20x6c-eol.html" TargetMode="External"/><Relationship Id="rId12" Type="http://schemas.openxmlformats.org/officeDocument/2006/relationships/hyperlink" Target="https://documentation.meraki.com/General_Administration/Other_Topics/Product_End-of-Life_(EOL)_Policies" TargetMode="External"/><Relationship Id="rId13" Type="http://schemas.openxmlformats.org/officeDocument/2006/relationships/hyperlink" Target="https://www.cisco.com/c/en/us/products/collateral/security/meraki-cloud-managed-security-appliances/mx67c-mx68cw-eol.html" TargetMode="External"/><Relationship Id="rId14" Type="http://schemas.openxmlformats.org/officeDocument/2006/relationships/hyperlink" Target="https://documentation.meraki.com/General_Administration/Other_Topics/Product_End-of-Life_(EOL)_Policies" TargetMode="External"/><Relationship Id="rId15" Type="http://schemas.openxmlformats.org/officeDocument/2006/relationships/hyperlink" Target="https://www.cisco.com/c/en/us/products/collateral/routers/1000-series-integrated-services-routers-isr/select-isr-1101-1109-series-routers-eol.html" TargetMode="External"/><Relationship Id="rId16" Type="http://schemas.openxmlformats.org/officeDocument/2006/relationships/hyperlink" Target="https://documentation.meraki.com/General_Administration/Other_Topics/Product_End-of-Life_(EOL)_Policies" TargetMode="External"/><Relationship Id="rId17" Type="http://schemas.openxmlformats.org/officeDocument/2006/relationships/hyperlink" Target="https://www.cisco.com/c/en/us/products/collateral/networking/switches/meraki-switches/meraki-ms450-12x40g-aggregation-switch-eol.html" TargetMode="External"/><Relationship Id="rId18" Type="http://schemas.openxmlformats.org/officeDocument/2006/relationships/hyperlink" Target="https://www.cisco.com/c/en/us/products/collateral/switches/catalyst-9500-series-switches/c9500-16x-switch-nm-c9500-nm-8x-nm-2q-eol.html" TargetMode="External"/><Relationship Id="rId19" Type="http://schemas.openxmlformats.org/officeDocument/2006/relationships/hyperlink" Target="https://www.cisco.com/c/en/us/products/collateral/switches/catalyst-9400-series-switches/catalyst-9400-series-supervisor-module-eol.html" TargetMode="External"/><Relationship Id="rId20" Type="http://schemas.openxmlformats.org/officeDocument/2006/relationships/hyperlink" Target="https://www.cisco.com/c/en/us/products/collateral/switches/small-business-220-series-smart-plus-switches/220-series-smart-switches-eol.html" TargetMode="External"/><Relationship Id="rId21" Type="http://schemas.openxmlformats.org/officeDocument/2006/relationships/hyperlink" Target="https://documentation.meraki.com/General_Administration/Other_Topics/Product_End-of-Life_(EOL)_Policies" TargetMode="External"/><Relationship Id="rId22" Type="http://schemas.openxmlformats.org/officeDocument/2006/relationships/hyperlink" Target="https://www.xsnet.com.au/blogs/news/cisco-wifi-6-access-point-eol" TargetMode="External"/><Relationship Id="rId23" Type="http://schemas.openxmlformats.org/officeDocument/2006/relationships/hyperlink" Target="https://documentation.meraki.com/General_Administration/Other_Topics/Product_End-of-Life_(EOL)_Policies" TargetMode="External"/><Relationship Id="rId24" Type="http://schemas.openxmlformats.org/officeDocument/2006/relationships/hyperlink" Target="https://www.cisco.com/c/en/us/products/collateral/switches/nexus-9000-series-switches/nexus-9332c-9364c-fixed-spine-switch-eol.html" TargetMode="External"/><Relationship Id="rId25" Type="http://schemas.openxmlformats.org/officeDocument/2006/relationships/hyperlink" Target="https://www.cisco.com/c/en/us/products/collateral/switches/nexus-3000-series-switches/nexus-3524-x-3548-x-eol.html" TargetMode="External"/><Relationship Id="rId26" Type="http://schemas.openxmlformats.org/officeDocument/2006/relationships/hyperlink" Target="https://www.cisco.com/c/en/us/products/collateral/switches/nexus-9000-series-switches/n9500-cloud-scale-line-cards-eol.html" TargetMode="External"/><Relationship Id="rId27" Type="http://schemas.openxmlformats.org/officeDocument/2006/relationships/hyperlink" Target="https://www.cisco.com/c/en/us/products/collateral/switches/nexus-9000-series-switches/n9500-cloud-n9k-x9732c-fx-100g-eth-card-eol.pdf" TargetMode="External"/><Relationship Id="rId28" Type="http://schemas.openxmlformats.org/officeDocument/2006/relationships/hyperlink" Target="https://www.cisco.com/c/en/us/products/collateral/switches/nexus-9000-series-switches/nexus-9500-100g-n9k-x9732c-ex-n9k-x9736c-ex-eol.html" TargetMode="External"/><Relationship Id="rId29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7" min="3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5" t="n">
        <v>357</v>
      </c>
      <c r="C6" s="5" t="n">
        <f aca="false">COUNTIFS(Issues!$B$2:$B$349,$A6,Issues!$F$2:$F$349,"High")</f>
        <v>19</v>
      </c>
      <c r="D6" s="5" t="n">
        <f aca="false">COUNTIFS(Issues!$B$2:$B$349,$A6,Issues!$F$2:$F$349,"Medium")</f>
        <v>36</v>
      </c>
      <c r="E6" s="5" t="n">
        <f aca="false">COUNTIFS(Issues!$B$2:$B$349,$A6,Issues!$F$2:$F$349,"Low")</f>
        <v>25</v>
      </c>
      <c r="F6" s="5" t="n">
        <f aca="false">SUM(C6:E6)</f>
        <v>80</v>
      </c>
      <c r="G6" s="5" t="n">
        <f aca="false">COUNTIFS(Issues!$B$2:$B$349,$A6,Issues!$J$2:$J$349,"&lt;&gt;Fixed")</f>
        <v>80</v>
      </c>
    </row>
    <row r="7" customFormat="false" ht="15" hidden="false" customHeight="false" outlineLevel="0" collapsed="false">
      <c r="A7" s="5" t="s">
        <v>11</v>
      </c>
      <c r="B7" s="5" t="n">
        <v>47</v>
      </c>
      <c r="C7" s="5" t="n">
        <f aca="false">COUNTIFS(Issues!$B$2:$B$349,$A7,Issues!$F$2:$F$349,"High")</f>
        <v>1</v>
      </c>
      <c r="D7" s="5" t="n">
        <f aca="false">COUNTIFS(Issues!$B$2:$B$349,$A7,Issues!$F$2:$F$349,"Medium")</f>
        <v>25</v>
      </c>
      <c r="E7" s="5" t="n">
        <f aca="false">COUNTIFS(Issues!$B$2:$B$349,$A7,Issues!$F$2:$F$349,"Low")</f>
        <v>11</v>
      </c>
      <c r="F7" s="5" t="n">
        <f aca="false">SUM(C7:E7)</f>
        <v>37</v>
      </c>
      <c r="G7" s="5" t="n">
        <f aca="false">COUNTIFS(Issues!$B$2:$B$349,$A7,Issues!$J$2:$J$349,"&lt;&gt;Fixed")</f>
        <v>37</v>
      </c>
    </row>
    <row r="8" customFormat="false" ht="15" hidden="false" customHeight="false" outlineLevel="0" collapsed="false">
      <c r="A8" s="5" t="s">
        <v>12</v>
      </c>
      <c r="B8" s="5" t="n">
        <v>117</v>
      </c>
      <c r="C8" s="5" t="n">
        <f aca="false">COUNTIFS(Issues!$B$2:$B$349,$A8,Issues!$F$2:$F$349,"High")</f>
        <v>1</v>
      </c>
      <c r="D8" s="5" t="n">
        <f aca="false">COUNTIFS(Issues!$B$2:$B$349,$A8,Issues!$F$2:$F$349,"Medium")</f>
        <v>11</v>
      </c>
      <c r="E8" s="5" t="n">
        <f aca="false">COUNTIFS(Issues!$B$2:$B$349,$A8,Issues!$F$2:$F$349,"Low")</f>
        <v>32</v>
      </c>
      <c r="F8" s="5" t="n">
        <f aca="false">SUM(C8:E8)</f>
        <v>44</v>
      </c>
      <c r="G8" s="5" t="n">
        <f aca="false">COUNTIFS(Issues!$B$2:$B$349,$A8,Issues!$J$2:$J$349,"&lt;&gt;Fixed")</f>
        <v>44</v>
      </c>
    </row>
    <row r="9" customFormat="false" ht="15" hidden="false" customHeight="false" outlineLevel="0" collapsed="false">
      <c r="A9" s="5" t="s">
        <v>13</v>
      </c>
      <c r="B9" s="5" t="n">
        <v>165</v>
      </c>
      <c r="C9" s="5" t="n">
        <f aca="false">COUNTIFS(Issues!$B$2:$B$349,$A9,Issues!$F$2:$F$349,"High")</f>
        <v>38</v>
      </c>
      <c r="D9" s="5" t="n">
        <f aca="false">COUNTIFS(Issues!$B$2:$B$349,$A9,Issues!$F$2:$F$349,"Medium")</f>
        <v>50</v>
      </c>
      <c r="E9" s="5" t="n">
        <f aca="false">COUNTIFS(Issues!$B$2:$B$349,$A9,Issues!$F$2:$F$349,"Low")</f>
        <v>13</v>
      </c>
      <c r="F9" s="5" t="n">
        <f aca="false">SUM(C9:E9)</f>
        <v>101</v>
      </c>
      <c r="G9" s="5" t="n">
        <f aca="false">COUNTIFS(Issues!$B$2:$B$349,$A9,Issues!$J$2:$J$349,"&lt;&gt;Fixed")</f>
        <v>101</v>
      </c>
    </row>
    <row r="10" customFormat="false" ht="15" hidden="false" customHeight="false" outlineLevel="0" collapsed="false">
      <c r="A10" s="5" t="s">
        <v>14</v>
      </c>
      <c r="B10" s="5" t="n">
        <v>27</v>
      </c>
      <c r="C10" s="5" t="n">
        <f aca="false">COUNTIFS(Issues!$B$2:$B$349,$A10,Issues!$F$2:$F$349,"High")</f>
        <v>28</v>
      </c>
      <c r="D10" s="5" t="n">
        <f aca="false">COUNTIFS(Issues!$B$2:$B$349,$A10,Issues!$F$2:$F$349,"Medium")</f>
        <v>11</v>
      </c>
      <c r="E10" s="5" t="n">
        <f aca="false">COUNTIFS(Issues!$B$2:$B$349,$A10,Issues!$F$2:$F$349,"Low")</f>
        <v>0</v>
      </c>
      <c r="F10" s="5" t="n">
        <f aca="false">SUM(C10:E10)</f>
        <v>39</v>
      </c>
      <c r="G10" s="5" t="n">
        <f aca="false">COUNTIFS(Issues!$B$2:$B$349,$A10,Issues!$J$2:$J$349,"&lt;&gt;Fixed")</f>
        <v>39</v>
      </c>
    </row>
    <row r="11" customFormat="false" ht="15" hidden="false" customHeight="false" outlineLevel="0" collapsed="false">
      <c r="A11" s="5" t="s">
        <v>15</v>
      </c>
      <c r="B11" s="5" t="n">
        <v>60</v>
      </c>
      <c r="C11" s="5" t="n">
        <f aca="false">COUNTIFS(Issues!$B$2:$B$349,$A11,Issues!$F$2:$F$349,"High")</f>
        <v>28</v>
      </c>
      <c r="D11" s="5" t="n">
        <f aca="false">COUNTIFS(Issues!$B$2:$B$349,$A11,Issues!$F$2:$F$349,"Medium")</f>
        <v>8</v>
      </c>
      <c r="E11" s="5" t="n">
        <f aca="false">COUNTIFS(Issues!$B$2:$B$349,$A11,Issues!$F$2:$F$349,"Low")</f>
        <v>1</v>
      </c>
      <c r="F11" s="5" t="n">
        <f aca="false">SUM(C11:E11)</f>
        <v>37</v>
      </c>
      <c r="G11" s="5" t="n">
        <f aca="false">COUNTIFS(Issues!$B$2:$B$349,$A11,Issues!$J$2:$J$349,"&lt;&gt;Fixed")</f>
        <v>37</v>
      </c>
    </row>
    <row r="12" customFormat="false" ht="15" hidden="false" customHeight="false" outlineLevel="0" collapsed="false">
      <c r="A12" s="5" t="s">
        <v>16</v>
      </c>
      <c r="B12" s="5" t="n">
        <v>39</v>
      </c>
      <c r="C12" s="5" t="n">
        <f aca="false">COUNTIFS(Issues!$B$2:$B$349,$A12,Issues!$F$2:$F$349,"High")</f>
        <v>3</v>
      </c>
      <c r="D12" s="5" t="n">
        <f aca="false">COUNTIFS(Issues!$B$2:$B$349,$A12,Issues!$F$2:$F$349,"Medium")</f>
        <v>4</v>
      </c>
      <c r="E12" s="5" t="n">
        <f aca="false">COUNTIFS(Issues!$B$2:$B$349,$A12,Issues!$F$2:$F$349,"Low")</f>
        <v>3</v>
      </c>
      <c r="F12" s="5" t="n">
        <f aca="false">SUM(C12:E12)</f>
        <v>10</v>
      </c>
      <c r="G12" s="5" t="n">
        <f aca="false">COUNTIFS(Issues!$B$2:$B$349,$A12,Issues!$J$2:$J$349,"&lt;&gt;Fixed")</f>
        <v>10</v>
      </c>
    </row>
    <row r="13" customFormat="false" ht="15" hidden="false" customHeight="false" outlineLevel="0" collapsed="false">
      <c r="A13" s="6" t="s">
        <v>8</v>
      </c>
      <c r="B13" s="6" t="n">
        <f aca="false">SUM(B6:B12)</f>
        <v>812</v>
      </c>
      <c r="C13" s="6" t="n">
        <f aca="false">SUM(C6:C12)</f>
        <v>118</v>
      </c>
      <c r="D13" s="6" t="n">
        <f aca="false">SUM(D6:D12)</f>
        <v>145</v>
      </c>
      <c r="E13" s="6" t="n">
        <f aca="false">SUM(E6:E12)</f>
        <v>85</v>
      </c>
      <c r="F13" s="6" t="n">
        <f aca="false">SUM(F6:F12)</f>
        <v>348</v>
      </c>
      <c r="G13" s="6" t="n">
        <f aca="false">SUM(G6:G12)</f>
        <v>348</v>
      </c>
    </row>
    <row r="15" customFormat="false" ht="15" hidden="false" customHeight="false" outlineLevel="0" collapsed="false">
      <c r="A15" s="3" t="s">
        <v>17</v>
      </c>
    </row>
    <row r="16" customFormat="false" ht="15" hidden="false" customHeight="false" outlineLevel="0" collapsed="false">
      <c r="A16" s="4" t="s">
        <v>18</v>
      </c>
      <c r="B16" s="4" t="s">
        <v>19</v>
      </c>
    </row>
    <row r="17" customFormat="false" ht="15" hidden="false" customHeight="false" outlineLevel="0" collapsed="false">
      <c r="A17" s="5" t="s">
        <v>20</v>
      </c>
      <c r="B17" s="5" t="n">
        <f aca="false">COUNTIF(Lifecycle!$G$2:$G$33,"Remove*")</f>
        <v>10</v>
      </c>
    </row>
    <row r="18" customFormat="false" ht="15" hidden="false" customHeight="false" outlineLevel="0" collapsed="false">
      <c r="A18" s="5" t="s">
        <v>21</v>
      </c>
      <c r="B18" s="5" t="n">
        <f aca="false">COUNTIF(Lifecycle!$G$2:$G$33,"Keep with badge*")</f>
        <v>12</v>
      </c>
    </row>
    <row r="19" customFormat="false" ht="15" hidden="false" customHeight="false" outlineLevel="0" collapsed="false">
      <c r="A19" s="5" t="s">
        <v>22</v>
      </c>
      <c r="B19" s="5" t="n">
        <f aca="false">COUNTIF(Lifecycle!$G$2:$G$33,"Verify*")+COUNTIF(Lifecycle!$G$2:$G$33,"Re-check*")+COUNTIF(Lifecycle!$G$2:$G$33,"Fill*")</f>
        <v>5</v>
      </c>
    </row>
    <row r="20" customFormat="false" ht="15" hidden="false" customHeight="false" outlineLevel="0" collapsed="false">
      <c r="A20" s="5" t="s">
        <v>23</v>
      </c>
      <c r="B20" s="5" t="n">
        <f aca="false">COUNTIF(Lifecycle!$G$2:$G$33,"Keep")+COUNTIF(Lifecycle!$G$2:$G$33,"Keep;*")</f>
        <v>5</v>
      </c>
    </row>
    <row r="23" customFormat="false" ht="15" hidden="false" customHeight="false" outlineLevel="0" collapsed="false">
      <c r="A23" s="3" t="s">
        <v>24</v>
      </c>
    </row>
    <row r="24" customFormat="false" ht="15" hidden="false" customHeight="false" outlineLevel="0" collapsed="false">
      <c r="A24" s="2" t="s">
        <v>25</v>
      </c>
    </row>
    <row r="25" customFormat="false" ht="15" hidden="false" customHeight="false" outlineLevel="0" collapsed="false">
      <c r="A25" s="2" t="s">
        <v>26</v>
      </c>
    </row>
    <row r="26" customFormat="false" ht="15" hidden="false" customHeight="false" outlineLevel="0" collapsed="false">
      <c r="A26" s="2" t="s">
        <v>27</v>
      </c>
    </row>
    <row r="27" customFormat="false" ht="15" hidden="false" customHeight="false" outlineLevel="0" collapsed="false">
      <c r="A27" s="2" t="s">
        <v>28</v>
      </c>
    </row>
    <row r="28" customFormat="false" ht="15" hidden="false" customHeight="false" outlineLevel="0" collapsed="false">
      <c r="A28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60"/>
    <col collapsed="false" customWidth="true" hidden="false" outlineLevel="0" max="9" min="9" style="0" width="55"/>
    <col collapsed="false" customWidth="true" hidden="false" outlineLevel="0" max="10" min="10" style="0" width="11"/>
  </cols>
  <sheetData>
    <row r="1" customFormat="false" ht="15" hidden="false" customHeight="false" outlineLevel="0" collapsed="false">
      <c r="A1" s="4" t="s">
        <v>30</v>
      </c>
      <c r="B1" s="4" t="s">
        <v>3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</row>
    <row r="2" customFormat="false" ht="23.85" hidden="false" customHeight="false" outlineLevel="0" collapsed="false">
      <c r="A2" s="7" t="n">
        <v>1</v>
      </c>
      <c r="B2" s="7" t="s">
        <v>10</v>
      </c>
      <c r="C2" s="7"/>
      <c r="D2" s="7" t="s">
        <v>39</v>
      </c>
      <c r="E2" s="7" t="s">
        <v>40</v>
      </c>
      <c r="F2" s="8" t="s">
        <v>5</v>
      </c>
      <c r="G2" s="7" t="s">
        <v>41</v>
      </c>
      <c r="H2" s="7" t="s">
        <v>42</v>
      </c>
      <c r="I2" s="7" t="s">
        <v>43</v>
      </c>
      <c r="J2" s="9" t="s">
        <v>9</v>
      </c>
    </row>
    <row r="3" customFormat="false" ht="23.85" hidden="false" customHeight="false" outlineLevel="0" collapsed="false">
      <c r="A3" s="7" t="n">
        <v>2</v>
      </c>
      <c r="B3" s="7" t="s">
        <v>10</v>
      </c>
      <c r="C3" s="7"/>
      <c r="D3" s="7" t="s">
        <v>39</v>
      </c>
      <c r="E3" s="7" t="s">
        <v>44</v>
      </c>
      <c r="F3" s="8" t="s">
        <v>5</v>
      </c>
      <c r="G3" s="7" t="s">
        <v>41</v>
      </c>
      <c r="H3" s="7" t="s">
        <v>45</v>
      </c>
      <c r="I3" s="7" t="s">
        <v>46</v>
      </c>
      <c r="J3" s="9" t="s">
        <v>9</v>
      </c>
    </row>
    <row r="4" customFormat="false" ht="35.05" hidden="false" customHeight="false" outlineLevel="0" collapsed="false">
      <c r="A4" s="7" t="n">
        <v>3</v>
      </c>
      <c r="B4" s="7" t="s">
        <v>10</v>
      </c>
      <c r="C4" s="7"/>
      <c r="D4" s="7" t="s">
        <v>47</v>
      </c>
      <c r="E4" s="7" t="s">
        <v>48</v>
      </c>
      <c r="F4" s="8" t="s">
        <v>5</v>
      </c>
      <c r="G4" s="7" t="s">
        <v>49</v>
      </c>
      <c r="H4" s="7" t="s">
        <v>50</v>
      </c>
      <c r="I4" s="7" t="s">
        <v>51</v>
      </c>
      <c r="J4" s="9" t="s">
        <v>9</v>
      </c>
    </row>
    <row r="5" customFormat="false" ht="23.85" hidden="false" customHeight="false" outlineLevel="0" collapsed="false">
      <c r="A5" s="7" t="n">
        <v>4</v>
      </c>
      <c r="B5" s="7" t="s">
        <v>10</v>
      </c>
      <c r="C5" s="7"/>
      <c r="D5" s="7" t="s">
        <v>52</v>
      </c>
      <c r="E5" s="7" t="s">
        <v>53</v>
      </c>
      <c r="F5" s="8" t="s">
        <v>5</v>
      </c>
      <c r="G5" s="7" t="s">
        <v>54</v>
      </c>
      <c r="H5" s="7" t="s">
        <v>55</v>
      </c>
      <c r="I5" s="7" t="s">
        <v>56</v>
      </c>
      <c r="J5" s="9" t="s">
        <v>9</v>
      </c>
    </row>
    <row r="6" customFormat="false" ht="23.85" hidden="false" customHeight="false" outlineLevel="0" collapsed="false">
      <c r="A6" s="7" t="n">
        <v>5</v>
      </c>
      <c r="B6" s="7" t="s">
        <v>10</v>
      </c>
      <c r="C6" s="7" t="n">
        <v>26</v>
      </c>
      <c r="D6" s="7" t="s">
        <v>57</v>
      </c>
      <c r="E6" s="7" t="s">
        <v>58</v>
      </c>
      <c r="F6" s="8" t="s">
        <v>5</v>
      </c>
      <c r="G6" s="7" t="s">
        <v>58</v>
      </c>
      <c r="H6" s="7" t="s">
        <v>59</v>
      </c>
      <c r="I6" s="7" t="s">
        <v>60</v>
      </c>
      <c r="J6" s="9" t="s">
        <v>9</v>
      </c>
    </row>
    <row r="7" customFormat="false" ht="23.85" hidden="false" customHeight="false" outlineLevel="0" collapsed="false">
      <c r="A7" s="7" t="n">
        <v>6</v>
      </c>
      <c r="B7" s="7" t="s">
        <v>10</v>
      </c>
      <c r="C7" s="7" t="n">
        <v>27</v>
      </c>
      <c r="D7" s="7" t="s">
        <v>61</v>
      </c>
      <c r="E7" s="7" t="s">
        <v>58</v>
      </c>
      <c r="F7" s="8" t="s">
        <v>5</v>
      </c>
      <c r="G7" s="7" t="s">
        <v>58</v>
      </c>
      <c r="H7" s="7" t="s">
        <v>59</v>
      </c>
      <c r="I7" s="7" t="s">
        <v>60</v>
      </c>
      <c r="J7" s="9" t="s">
        <v>9</v>
      </c>
    </row>
    <row r="8" customFormat="false" ht="23.85" hidden="false" customHeight="false" outlineLevel="0" collapsed="false">
      <c r="A8" s="7" t="n">
        <v>7</v>
      </c>
      <c r="B8" s="7" t="s">
        <v>10</v>
      </c>
      <c r="C8" s="7" t="n">
        <v>28</v>
      </c>
      <c r="D8" s="7" t="s">
        <v>62</v>
      </c>
      <c r="E8" s="7" t="s">
        <v>58</v>
      </c>
      <c r="F8" s="8" t="s">
        <v>5</v>
      </c>
      <c r="G8" s="7" t="s">
        <v>58</v>
      </c>
      <c r="H8" s="7" t="s">
        <v>59</v>
      </c>
      <c r="I8" s="7" t="s">
        <v>60</v>
      </c>
      <c r="J8" s="9" t="s">
        <v>9</v>
      </c>
    </row>
    <row r="9" customFormat="false" ht="23.85" hidden="false" customHeight="false" outlineLevel="0" collapsed="false">
      <c r="A9" s="7" t="n">
        <v>8</v>
      </c>
      <c r="B9" s="7" t="s">
        <v>10</v>
      </c>
      <c r="C9" s="7" t="n">
        <v>29</v>
      </c>
      <c r="D9" s="7" t="s">
        <v>63</v>
      </c>
      <c r="E9" s="7" t="s">
        <v>58</v>
      </c>
      <c r="F9" s="8" t="s">
        <v>5</v>
      </c>
      <c r="G9" s="7" t="s">
        <v>58</v>
      </c>
      <c r="H9" s="7" t="s">
        <v>59</v>
      </c>
      <c r="I9" s="7" t="s">
        <v>60</v>
      </c>
      <c r="J9" s="9" t="s">
        <v>9</v>
      </c>
    </row>
    <row r="10" customFormat="false" ht="23.85" hidden="false" customHeight="false" outlineLevel="0" collapsed="false">
      <c r="A10" s="7" t="n">
        <v>9</v>
      </c>
      <c r="B10" s="7" t="s">
        <v>10</v>
      </c>
      <c r="C10" s="7" t="n">
        <v>30</v>
      </c>
      <c r="D10" s="7" t="s">
        <v>64</v>
      </c>
      <c r="E10" s="7" t="s">
        <v>58</v>
      </c>
      <c r="F10" s="8" t="s">
        <v>5</v>
      </c>
      <c r="G10" s="7" t="s">
        <v>58</v>
      </c>
      <c r="H10" s="7" t="s">
        <v>59</v>
      </c>
      <c r="I10" s="7" t="s">
        <v>60</v>
      </c>
      <c r="J10" s="9" t="s">
        <v>9</v>
      </c>
    </row>
    <row r="11" customFormat="false" ht="23.85" hidden="false" customHeight="false" outlineLevel="0" collapsed="false">
      <c r="A11" s="7" t="n">
        <v>10</v>
      </c>
      <c r="B11" s="7" t="s">
        <v>10</v>
      </c>
      <c r="C11" s="7" t="n">
        <v>31</v>
      </c>
      <c r="D11" s="7" t="s">
        <v>65</v>
      </c>
      <c r="E11" s="7" t="s">
        <v>58</v>
      </c>
      <c r="F11" s="8" t="s">
        <v>5</v>
      </c>
      <c r="G11" s="7" t="s">
        <v>58</v>
      </c>
      <c r="H11" s="7" t="s">
        <v>66</v>
      </c>
      <c r="I11" s="7" t="s">
        <v>67</v>
      </c>
      <c r="J11" s="9" t="s">
        <v>9</v>
      </c>
    </row>
    <row r="12" customFormat="false" ht="23.85" hidden="false" customHeight="false" outlineLevel="0" collapsed="false">
      <c r="A12" s="7" t="n">
        <v>11</v>
      </c>
      <c r="B12" s="7" t="s">
        <v>10</v>
      </c>
      <c r="C12" s="7" t="n">
        <v>222</v>
      </c>
      <c r="D12" s="7" t="s">
        <v>68</v>
      </c>
      <c r="E12" s="7" t="s">
        <v>58</v>
      </c>
      <c r="F12" s="8" t="s">
        <v>5</v>
      </c>
      <c r="G12" s="7" t="s">
        <v>58</v>
      </c>
      <c r="H12" s="7" t="s">
        <v>69</v>
      </c>
      <c r="I12" s="7" t="s">
        <v>70</v>
      </c>
      <c r="J12" s="9" t="s">
        <v>9</v>
      </c>
    </row>
    <row r="13" customFormat="false" ht="23.85" hidden="false" customHeight="false" outlineLevel="0" collapsed="false">
      <c r="A13" s="7" t="n">
        <v>12</v>
      </c>
      <c r="B13" s="7" t="s">
        <v>10</v>
      </c>
      <c r="C13" s="7" t="n">
        <v>223</v>
      </c>
      <c r="D13" s="7" t="s">
        <v>71</v>
      </c>
      <c r="E13" s="7" t="s">
        <v>58</v>
      </c>
      <c r="F13" s="8" t="s">
        <v>5</v>
      </c>
      <c r="G13" s="7" t="s">
        <v>58</v>
      </c>
      <c r="H13" s="7" t="s">
        <v>69</v>
      </c>
      <c r="I13" s="7" t="s">
        <v>70</v>
      </c>
      <c r="J13" s="9" t="s">
        <v>9</v>
      </c>
    </row>
    <row r="14" customFormat="false" ht="23.85" hidden="false" customHeight="false" outlineLevel="0" collapsed="false">
      <c r="A14" s="7" t="n">
        <v>13</v>
      </c>
      <c r="B14" s="7" t="s">
        <v>10</v>
      </c>
      <c r="C14" s="7" t="n">
        <v>238</v>
      </c>
      <c r="D14" s="7" t="s">
        <v>72</v>
      </c>
      <c r="E14" s="7" t="s">
        <v>73</v>
      </c>
      <c r="F14" s="8" t="s">
        <v>5</v>
      </c>
      <c r="G14" s="7" t="s">
        <v>49</v>
      </c>
      <c r="H14" s="7" t="s">
        <v>74</v>
      </c>
      <c r="I14" s="7" t="s">
        <v>75</v>
      </c>
      <c r="J14" s="9" t="s">
        <v>9</v>
      </c>
    </row>
    <row r="15" customFormat="false" ht="23.85" hidden="false" customHeight="false" outlineLevel="0" collapsed="false">
      <c r="A15" s="7" t="n">
        <v>14</v>
      </c>
      <c r="B15" s="7" t="s">
        <v>10</v>
      </c>
      <c r="C15" s="7" t="n">
        <v>240</v>
      </c>
      <c r="D15" s="7" t="s">
        <v>76</v>
      </c>
      <c r="E15" s="7" t="s">
        <v>73</v>
      </c>
      <c r="F15" s="8" t="s">
        <v>5</v>
      </c>
      <c r="G15" s="7" t="s">
        <v>49</v>
      </c>
      <c r="H15" s="7" t="s">
        <v>77</v>
      </c>
      <c r="I15" s="7" t="s">
        <v>75</v>
      </c>
      <c r="J15" s="9" t="s">
        <v>9</v>
      </c>
    </row>
    <row r="16" customFormat="false" ht="23.85" hidden="false" customHeight="false" outlineLevel="0" collapsed="false">
      <c r="A16" s="7" t="n">
        <v>15</v>
      </c>
      <c r="B16" s="7" t="s">
        <v>10</v>
      </c>
      <c r="C16" s="7" t="n">
        <v>241</v>
      </c>
      <c r="D16" s="7" t="s">
        <v>78</v>
      </c>
      <c r="E16" s="7" t="s">
        <v>73</v>
      </c>
      <c r="F16" s="8" t="s">
        <v>5</v>
      </c>
      <c r="G16" s="7" t="s">
        <v>49</v>
      </c>
      <c r="H16" s="7" t="s">
        <v>77</v>
      </c>
      <c r="I16" s="7" t="s">
        <v>75</v>
      </c>
      <c r="J16" s="9" t="s">
        <v>9</v>
      </c>
    </row>
    <row r="17" customFormat="false" ht="15" hidden="false" customHeight="false" outlineLevel="0" collapsed="false">
      <c r="A17" s="7" t="n">
        <v>16</v>
      </c>
      <c r="B17" s="7" t="s">
        <v>10</v>
      </c>
      <c r="C17" s="7" t="n">
        <v>244</v>
      </c>
      <c r="D17" s="7" t="s">
        <v>79</v>
      </c>
      <c r="E17" s="7" t="s">
        <v>58</v>
      </c>
      <c r="F17" s="8" t="s">
        <v>5</v>
      </c>
      <c r="G17" s="7" t="s">
        <v>58</v>
      </c>
      <c r="H17" s="7" t="s">
        <v>59</v>
      </c>
      <c r="I17" s="7" t="s">
        <v>80</v>
      </c>
      <c r="J17" s="9" t="s">
        <v>9</v>
      </c>
    </row>
    <row r="18" customFormat="false" ht="15" hidden="false" customHeight="false" outlineLevel="0" collapsed="false">
      <c r="A18" s="7" t="n">
        <v>17</v>
      </c>
      <c r="B18" s="7" t="s">
        <v>10</v>
      </c>
      <c r="C18" s="7" t="n">
        <v>245</v>
      </c>
      <c r="D18" s="7" t="s">
        <v>81</v>
      </c>
      <c r="E18" s="7" t="s">
        <v>58</v>
      </c>
      <c r="F18" s="8" t="s">
        <v>5</v>
      </c>
      <c r="G18" s="7" t="s">
        <v>58</v>
      </c>
      <c r="H18" s="7" t="s">
        <v>59</v>
      </c>
      <c r="I18" s="7" t="s">
        <v>80</v>
      </c>
      <c r="J18" s="9" t="s">
        <v>9</v>
      </c>
    </row>
    <row r="19" customFormat="false" ht="15" hidden="false" customHeight="false" outlineLevel="0" collapsed="false">
      <c r="A19" s="7" t="n">
        <v>18</v>
      </c>
      <c r="B19" s="7" t="s">
        <v>10</v>
      </c>
      <c r="C19" s="7" t="n">
        <v>246</v>
      </c>
      <c r="D19" s="7" t="s">
        <v>82</v>
      </c>
      <c r="E19" s="7" t="s">
        <v>58</v>
      </c>
      <c r="F19" s="8" t="s">
        <v>5</v>
      </c>
      <c r="G19" s="7" t="s">
        <v>58</v>
      </c>
      <c r="H19" s="7" t="s">
        <v>59</v>
      </c>
      <c r="I19" s="7" t="s">
        <v>80</v>
      </c>
      <c r="J19" s="9" t="s">
        <v>9</v>
      </c>
    </row>
    <row r="20" customFormat="false" ht="15" hidden="false" customHeight="false" outlineLevel="0" collapsed="false">
      <c r="A20" s="7" t="n">
        <v>19</v>
      </c>
      <c r="B20" s="7" t="s">
        <v>10</v>
      </c>
      <c r="C20" s="7" t="n">
        <v>247</v>
      </c>
      <c r="D20" s="7" t="s">
        <v>83</v>
      </c>
      <c r="E20" s="7" t="s">
        <v>58</v>
      </c>
      <c r="F20" s="8" t="s">
        <v>5</v>
      </c>
      <c r="G20" s="7" t="s">
        <v>58</v>
      </c>
      <c r="H20" s="7" t="s">
        <v>59</v>
      </c>
      <c r="I20" s="7" t="s">
        <v>80</v>
      </c>
      <c r="J20" s="9" t="s">
        <v>9</v>
      </c>
    </row>
    <row r="21" customFormat="false" ht="23.85" hidden="false" customHeight="false" outlineLevel="0" collapsed="false">
      <c r="A21" s="7" t="n">
        <v>20</v>
      </c>
      <c r="B21" s="7" t="s">
        <v>10</v>
      </c>
      <c r="C21" s="7"/>
      <c r="D21" s="7" t="s">
        <v>84</v>
      </c>
      <c r="E21" s="7" t="s">
        <v>85</v>
      </c>
      <c r="F21" s="10" t="s">
        <v>6</v>
      </c>
      <c r="G21" s="7" t="s">
        <v>86</v>
      </c>
      <c r="H21" s="7" t="s">
        <v>87</v>
      </c>
      <c r="I21" s="7" t="s">
        <v>88</v>
      </c>
      <c r="J21" s="9" t="s">
        <v>9</v>
      </c>
    </row>
    <row r="22" customFormat="false" ht="23.85" hidden="false" customHeight="false" outlineLevel="0" collapsed="false">
      <c r="A22" s="7" t="n">
        <v>21</v>
      </c>
      <c r="B22" s="7" t="s">
        <v>10</v>
      </c>
      <c r="C22" s="7" t="n">
        <v>81</v>
      </c>
      <c r="D22" s="7" t="s">
        <v>89</v>
      </c>
      <c r="E22" s="7" t="s">
        <v>48</v>
      </c>
      <c r="F22" s="10" t="s">
        <v>6</v>
      </c>
      <c r="G22" s="7" t="s">
        <v>54</v>
      </c>
      <c r="H22" s="7" t="s">
        <v>90</v>
      </c>
      <c r="I22" s="7" t="s">
        <v>91</v>
      </c>
      <c r="J22" s="9" t="s">
        <v>9</v>
      </c>
    </row>
    <row r="23" customFormat="false" ht="23.85" hidden="false" customHeight="false" outlineLevel="0" collapsed="false">
      <c r="A23" s="7" t="n">
        <v>22</v>
      </c>
      <c r="B23" s="7" t="s">
        <v>10</v>
      </c>
      <c r="C23" s="7" t="n">
        <v>97</v>
      </c>
      <c r="D23" s="7" t="s">
        <v>92</v>
      </c>
      <c r="E23" s="7" t="s">
        <v>93</v>
      </c>
      <c r="F23" s="10" t="s">
        <v>6</v>
      </c>
      <c r="G23" s="7" t="s">
        <v>94</v>
      </c>
      <c r="H23" s="7" t="s">
        <v>95</v>
      </c>
      <c r="I23" s="7" t="s">
        <v>96</v>
      </c>
      <c r="J23" s="9" t="s">
        <v>9</v>
      </c>
    </row>
    <row r="24" customFormat="false" ht="23.85" hidden="false" customHeight="false" outlineLevel="0" collapsed="false">
      <c r="A24" s="7" t="n">
        <v>23</v>
      </c>
      <c r="B24" s="7" t="s">
        <v>10</v>
      </c>
      <c r="C24" s="7" t="n">
        <v>98</v>
      </c>
      <c r="D24" s="7" t="s">
        <v>97</v>
      </c>
      <c r="E24" s="7" t="s">
        <v>93</v>
      </c>
      <c r="F24" s="10" t="s">
        <v>6</v>
      </c>
      <c r="G24" s="7" t="s">
        <v>94</v>
      </c>
      <c r="H24" s="7" t="s">
        <v>95</v>
      </c>
      <c r="I24" s="7" t="s">
        <v>96</v>
      </c>
      <c r="J24" s="9" t="s">
        <v>9</v>
      </c>
    </row>
    <row r="25" customFormat="false" ht="23.85" hidden="false" customHeight="false" outlineLevel="0" collapsed="false">
      <c r="A25" s="7" t="n">
        <v>24</v>
      </c>
      <c r="B25" s="7" t="s">
        <v>10</v>
      </c>
      <c r="C25" s="7" t="n">
        <v>99</v>
      </c>
      <c r="D25" s="7" t="s">
        <v>98</v>
      </c>
      <c r="E25" s="7" t="s">
        <v>93</v>
      </c>
      <c r="F25" s="10" t="s">
        <v>6</v>
      </c>
      <c r="G25" s="7" t="s">
        <v>94</v>
      </c>
      <c r="H25" s="7" t="s">
        <v>95</v>
      </c>
      <c r="I25" s="7" t="s">
        <v>96</v>
      </c>
      <c r="J25" s="9" t="s">
        <v>9</v>
      </c>
    </row>
    <row r="26" customFormat="false" ht="23.85" hidden="false" customHeight="false" outlineLevel="0" collapsed="false">
      <c r="A26" s="7" t="n">
        <v>25</v>
      </c>
      <c r="B26" s="7" t="s">
        <v>10</v>
      </c>
      <c r="C26" s="7" t="n">
        <v>100</v>
      </c>
      <c r="D26" s="7" t="s">
        <v>99</v>
      </c>
      <c r="E26" s="7" t="s">
        <v>93</v>
      </c>
      <c r="F26" s="10" t="s">
        <v>6</v>
      </c>
      <c r="G26" s="7" t="s">
        <v>94</v>
      </c>
      <c r="H26" s="7" t="s">
        <v>95</v>
      </c>
      <c r="I26" s="7" t="s">
        <v>96</v>
      </c>
      <c r="J26" s="9" t="s">
        <v>9</v>
      </c>
    </row>
    <row r="27" customFormat="false" ht="23.85" hidden="false" customHeight="false" outlineLevel="0" collapsed="false">
      <c r="A27" s="7" t="n">
        <v>26</v>
      </c>
      <c r="B27" s="7" t="s">
        <v>10</v>
      </c>
      <c r="C27" s="7" t="n">
        <v>101</v>
      </c>
      <c r="D27" s="7" t="s">
        <v>100</v>
      </c>
      <c r="E27" s="7" t="s">
        <v>93</v>
      </c>
      <c r="F27" s="10" t="s">
        <v>6</v>
      </c>
      <c r="G27" s="7" t="s">
        <v>94</v>
      </c>
      <c r="H27" s="7" t="s">
        <v>95</v>
      </c>
      <c r="I27" s="7" t="s">
        <v>96</v>
      </c>
      <c r="J27" s="9" t="s">
        <v>9</v>
      </c>
    </row>
    <row r="28" customFormat="false" ht="23.85" hidden="false" customHeight="false" outlineLevel="0" collapsed="false">
      <c r="A28" s="7" t="n">
        <v>27</v>
      </c>
      <c r="B28" s="7" t="s">
        <v>10</v>
      </c>
      <c r="C28" s="7" t="n">
        <v>102</v>
      </c>
      <c r="D28" s="7" t="s">
        <v>101</v>
      </c>
      <c r="E28" s="7" t="s">
        <v>93</v>
      </c>
      <c r="F28" s="10" t="s">
        <v>6</v>
      </c>
      <c r="G28" s="7" t="s">
        <v>94</v>
      </c>
      <c r="H28" s="7" t="s">
        <v>95</v>
      </c>
      <c r="I28" s="7" t="s">
        <v>96</v>
      </c>
      <c r="J28" s="9" t="s">
        <v>9</v>
      </c>
    </row>
    <row r="29" customFormat="false" ht="23.85" hidden="false" customHeight="false" outlineLevel="0" collapsed="false">
      <c r="A29" s="7" t="n">
        <v>28</v>
      </c>
      <c r="B29" s="7" t="s">
        <v>10</v>
      </c>
      <c r="C29" s="7" t="n">
        <v>103</v>
      </c>
      <c r="D29" s="7" t="s">
        <v>102</v>
      </c>
      <c r="E29" s="7" t="s">
        <v>93</v>
      </c>
      <c r="F29" s="10" t="s">
        <v>6</v>
      </c>
      <c r="G29" s="7" t="s">
        <v>94</v>
      </c>
      <c r="H29" s="7" t="s">
        <v>95</v>
      </c>
      <c r="I29" s="7" t="s">
        <v>96</v>
      </c>
      <c r="J29" s="9" t="s">
        <v>9</v>
      </c>
    </row>
    <row r="30" customFormat="false" ht="23.85" hidden="false" customHeight="false" outlineLevel="0" collapsed="false">
      <c r="A30" s="7" t="n">
        <v>29</v>
      </c>
      <c r="B30" s="7" t="s">
        <v>10</v>
      </c>
      <c r="C30" s="7" t="n">
        <v>104</v>
      </c>
      <c r="D30" s="7" t="s">
        <v>103</v>
      </c>
      <c r="E30" s="7" t="s">
        <v>93</v>
      </c>
      <c r="F30" s="10" t="s">
        <v>6</v>
      </c>
      <c r="G30" s="7" t="s">
        <v>94</v>
      </c>
      <c r="H30" s="7" t="s">
        <v>95</v>
      </c>
      <c r="I30" s="7" t="s">
        <v>96</v>
      </c>
      <c r="J30" s="9" t="s">
        <v>9</v>
      </c>
    </row>
    <row r="31" customFormat="false" ht="23.85" hidden="false" customHeight="false" outlineLevel="0" collapsed="false">
      <c r="A31" s="7" t="n">
        <v>30</v>
      </c>
      <c r="B31" s="7" t="s">
        <v>10</v>
      </c>
      <c r="C31" s="7" t="n">
        <v>105</v>
      </c>
      <c r="D31" s="7" t="s">
        <v>104</v>
      </c>
      <c r="E31" s="7" t="s">
        <v>93</v>
      </c>
      <c r="F31" s="10" t="s">
        <v>6</v>
      </c>
      <c r="G31" s="7" t="s">
        <v>94</v>
      </c>
      <c r="H31" s="7" t="s">
        <v>95</v>
      </c>
      <c r="I31" s="7" t="s">
        <v>96</v>
      </c>
      <c r="J31" s="9" t="s">
        <v>9</v>
      </c>
    </row>
    <row r="32" customFormat="false" ht="23.85" hidden="false" customHeight="false" outlineLevel="0" collapsed="false">
      <c r="A32" s="7" t="n">
        <v>31</v>
      </c>
      <c r="B32" s="7" t="s">
        <v>10</v>
      </c>
      <c r="C32" s="7" t="n">
        <v>106</v>
      </c>
      <c r="D32" s="7" t="s">
        <v>105</v>
      </c>
      <c r="E32" s="7" t="s">
        <v>93</v>
      </c>
      <c r="F32" s="10" t="s">
        <v>6</v>
      </c>
      <c r="G32" s="7" t="s">
        <v>94</v>
      </c>
      <c r="H32" s="7" t="s">
        <v>95</v>
      </c>
      <c r="I32" s="7" t="s">
        <v>96</v>
      </c>
      <c r="J32" s="9" t="s">
        <v>9</v>
      </c>
    </row>
    <row r="33" customFormat="false" ht="23.85" hidden="false" customHeight="false" outlineLevel="0" collapsed="false">
      <c r="A33" s="7" t="n">
        <v>32</v>
      </c>
      <c r="B33" s="7" t="s">
        <v>10</v>
      </c>
      <c r="C33" s="7" t="n">
        <v>107</v>
      </c>
      <c r="D33" s="7" t="s">
        <v>106</v>
      </c>
      <c r="E33" s="7" t="s">
        <v>93</v>
      </c>
      <c r="F33" s="10" t="s">
        <v>6</v>
      </c>
      <c r="G33" s="7" t="s">
        <v>94</v>
      </c>
      <c r="H33" s="7" t="s">
        <v>95</v>
      </c>
      <c r="I33" s="7" t="s">
        <v>96</v>
      </c>
      <c r="J33" s="9" t="s">
        <v>9</v>
      </c>
    </row>
    <row r="34" customFormat="false" ht="23.85" hidden="false" customHeight="false" outlineLevel="0" collapsed="false">
      <c r="A34" s="7" t="n">
        <v>33</v>
      </c>
      <c r="B34" s="7" t="s">
        <v>10</v>
      </c>
      <c r="C34" s="7" t="n">
        <v>108</v>
      </c>
      <c r="D34" s="7" t="s">
        <v>107</v>
      </c>
      <c r="E34" s="7" t="s">
        <v>93</v>
      </c>
      <c r="F34" s="10" t="s">
        <v>6</v>
      </c>
      <c r="G34" s="7" t="s">
        <v>94</v>
      </c>
      <c r="H34" s="7" t="s">
        <v>95</v>
      </c>
      <c r="I34" s="7" t="s">
        <v>96</v>
      </c>
      <c r="J34" s="9" t="s">
        <v>9</v>
      </c>
    </row>
    <row r="35" customFormat="false" ht="23.85" hidden="false" customHeight="false" outlineLevel="0" collapsed="false">
      <c r="A35" s="7" t="n">
        <v>34</v>
      </c>
      <c r="B35" s="7" t="s">
        <v>10</v>
      </c>
      <c r="C35" s="7" t="n">
        <v>120</v>
      </c>
      <c r="D35" s="7" t="s">
        <v>108</v>
      </c>
      <c r="E35" s="7" t="s">
        <v>48</v>
      </c>
      <c r="F35" s="10" t="s">
        <v>6</v>
      </c>
      <c r="G35" s="7" t="s">
        <v>54</v>
      </c>
      <c r="H35" s="7" t="s">
        <v>90</v>
      </c>
      <c r="I35" s="7" t="s">
        <v>91</v>
      </c>
      <c r="J35" s="9" t="s">
        <v>9</v>
      </c>
    </row>
    <row r="36" customFormat="false" ht="23.85" hidden="false" customHeight="false" outlineLevel="0" collapsed="false">
      <c r="A36" s="7" t="n">
        <v>35</v>
      </c>
      <c r="B36" s="7" t="s">
        <v>10</v>
      </c>
      <c r="C36" s="7" t="n">
        <v>121</v>
      </c>
      <c r="D36" s="7" t="s">
        <v>109</v>
      </c>
      <c r="E36" s="7" t="s">
        <v>48</v>
      </c>
      <c r="F36" s="10" t="s">
        <v>6</v>
      </c>
      <c r="G36" s="7" t="s">
        <v>54</v>
      </c>
      <c r="H36" s="7" t="s">
        <v>90</v>
      </c>
      <c r="I36" s="7" t="s">
        <v>91</v>
      </c>
      <c r="J36" s="9" t="s">
        <v>9</v>
      </c>
    </row>
    <row r="37" customFormat="false" ht="23.85" hidden="false" customHeight="false" outlineLevel="0" collapsed="false">
      <c r="A37" s="7" t="n">
        <v>36</v>
      </c>
      <c r="B37" s="7" t="s">
        <v>10</v>
      </c>
      <c r="C37" s="7" t="n">
        <v>122</v>
      </c>
      <c r="D37" s="7" t="s">
        <v>110</v>
      </c>
      <c r="E37" s="7" t="s">
        <v>48</v>
      </c>
      <c r="F37" s="10" t="s">
        <v>6</v>
      </c>
      <c r="G37" s="7" t="s">
        <v>54</v>
      </c>
      <c r="H37" s="7" t="s">
        <v>90</v>
      </c>
      <c r="I37" s="7" t="s">
        <v>91</v>
      </c>
      <c r="J37" s="9" t="s">
        <v>9</v>
      </c>
    </row>
    <row r="38" customFormat="false" ht="23.85" hidden="false" customHeight="false" outlineLevel="0" collapsed="false">
      <c r="A38" s="7" t="n">
        <v>37</v>
      </c>
      <c r="B38" s="7" t="s">
        <v>10</v>
      </c>
      <c r="C38" s="7" t="n">
        <v>123</v>
      </c>
      <c r="D38" s="7" t="s">
        <v>111</v>
      </c>
      <c r="E38" s="7" t="s">
        <v>48</v>
      </c>
      <c r="F38" s="10" t="s">
        <v>6</v>
      </c>
      <c r="G38" s="7" t="s">
        <v>54</v>
      </c>
      <c r="H38" s="7" t="s">
        <v>90</v>
      </c>
      <c r="I38" s="7" t="s">
        <v>91</v>
      </c>
      <c r="J38" s="9" t="s">
        <v>9</v>
      </c>
    </row>
    <row r="39" customFormat="false" ht="23.85" hidden="false" customHeight="false" outlineLevel="0" collapsed="false">
      <c r="A39" s="7" t="n">
        <v>38</v>
      </c>
      <c r="B39" s="7" t="s">
        <v>10</v>
      </c>
      <c r="C39" s="7" t="n">
        <v>124</v>
      </c>
      <c r="D39" s="7" t="s">
        <v>112</v>
      </c>
      <c r="E39" s="7" t="s">
        <v>48</v>
      </c>
      <c r="F39" s="10" t="s">
        <v>6</v>
      </c>
      <c r="G39" s="7" t="s">
        <v>54</v>
      </c>
      <c r="H39" s="7" t="s">
        <v>90</v>
      </c>
      <c r="I39" s="7" t="s">
        <v>91</v>
      </c>
      <c r="J39" s="9" t="s">
        <v>9</v>
      </c>
    </row>
    <row r="40" customFormat="false" ht="23.85" hidden="false" customHeight="false" outlineLevel="0" collapsed="false">
      <c r="A40" s="7" t="n">
        <v>39</v>
      </c>
      <c r="B40" s="7" t="s">
        <v>10</v>
      </c>
      <c r="C40" s="7" t="n">
        <v>240</v>
      </c>
      <c r="D40" s="7" t="s">
        <v>76</v>
      </c>
      <c r="E40" s="7" t="s">
        <v>48</v>
      </c>
      <c r="F40" s="10" t="s">
        <v>6</v>
      </c>
      <c r="G40" s="7" t="s">
        <v>54</v>
      </c>
      <c r="H40" s="7" t="s">
        <v>90</v>
      </c>
      <c r="I40" s="7" t="s">
        <v>91</v>
      </c>
      <c r="J40" s="9" t="s">
        <v>9</v>
      </c>
    </row>
    <row r="41" customFormat="false" ht="23.85" hidden="false" customHeight="false" outlineLevel="0" collapsed="false">
      <c r="A41" s="7" t="n">
        <v>40</v>
      </c>
      <c r="B41" s="7" t="s">
        <v>10</v>
      </c>
      <c r="C41" s="7" t="n">
        <v>241</v>
      </c>
      <c r="D41" s="7" t="s">
        <v>78</v>
      </c>
      <c r="E41" s="7" t="s">
        <v>48</v>
      </c>
      <c r="F41" s="10" t="s">
        <v>6</v>
      </c>
      <c r="G41" s="7" t="s">
        <v>54</v>
      </c>
      <c r="H41" s="7" t="s">
        <v>90</v>
      </c>
      <c r="I41" s="7" t="s">
        <v>91</v>
      </c>
      <c r="J41" s="9" t="s">
        <v>9</v>
      </c>
    </row>
    <row r="42" customFormat="false" ht="23.85" hidden="false" customHeight="false" outlineLevel="0" collapsed="false">
      <c r="A42" s="7" t="n">
        <v>41</v>
      </c>
      <c r="B42" s="7" t="s">
        <v>10</v>
      </c>
      <c r="C42" s="7" t="n">
        <v>295</v>
      </c>
      <c r="D42" s="7" t="s">
        <v>113</v>
      </c>
      <c r="E42" s="7" t="s">
        <v>48</v>
      </c>
      <c r="F42" s="10" t="s">
        <v>6</v>
      </c>
      <c r="G42" s="7" t="s">
        <v>54</v>
      </c>
      <c r="H42" s="7" t="s">
        <v>90</v>
      </c>
      <c r="I42" s="7" t="s">
        <v>91</v>
      </c>
      <c r="J42" s="9" t="s">
        <v>9</v>
      </c>
    </row>
    <row r="43" customFormat="false" ht="23.85" hidden="false" customHeight="false" outlineLevel="0" collapsed="false">
      <c r="A43" s="7" t="n">
        <v>42</v>
      </c>
      <c r="B43" s="7" t="s">
        <v>10</v>
      </c>
      <c r="C43" s="7" t="n">
        <v>312</v>
      </c>
      <c r="D43" s="7" t="s">
        <v>114</v>
      </c>
      <c r="E43" s="7" t="s">
        <v>48</v>
      </c>
      <c r="F43" s="10" t="s">
        <v>6</v>
      </c>
      <c r="G43" s="7" t="s">
        <v>54</v>
      </c>
      <c r="H43" s="7" t="s">
        <v>90</v>
      </c>
      <c r="I43" s="7" t="s">
        <v>91</v>
      </c>
      <c r="J43" s="9" t="s">
        <v>9</v>
      </c>
    </row>
    <row r="44" customFormat="false" ht="23.85" hidden="false" customHeight="false" outlineLevel="0" collapsed="false">
      <c r="A44" s="7" t="n">
        <v>43</v>
      </c>
      <c r="B44" s="7" t="s">
        <v>10</v>
      </c>
      <c r="C44" s="7" t="n">
        <v>313</v>
      </c>
      <c r="D44" s="7" t="s">
        <v>115</v>
      </c>
      <c r="E44" s="7" t="s">
        <v>48</v>
      </c>
      <c r="F44" s="10" t="s">
        <v>6</v>
      </c>
      <c r="G44" s="7" t="s">
        <v>54</v>
      </c>
      <c r="H44" s="7" t="s">
        <v>90</v>
      </c>
      <c r="I44" s="7" t="s">
        <v>91</v>
      </c>
      <c r="J44" s="9" t="s">
        <v>9</v>
      </c>
    </row>
    <row r="45" customFormat="false" ht="23.85" hidden="false" customHeight="false" outlineLevel="0" collapsed="false">
      <c r="A45" s="7" t="n">
        <v>44</v>
      </c>
      <c r="B45" s="7" t="s">
        <v>10</v>
      </c>
      <c r="C45" s="7" t="n">
        <v>314</v>
      </c>
      <c r="D45" s="7" t="s">
        <v>116</v>
      </c>
      <c r="E45" s="7" t="s">
        <v>48</v>
      </c>
      <c r="F45" s="10" t="s">
        <v>6</v>
      </c>
      <c r="G45" s="7" t="s">
        <v>54</v>
      </c>
      <c r="H45" s="7" t="s">
        <v>90</v>
      </c>
      <c r="I45" s="7" t="s">
        <v>91</v>
      </c>
      <c r="J45" s="9" t="s">
        <v>9</v>
      </c>
    </row>
    <row r="46" customFormat="false" ht="23.85" hidden="false" customHeight="false" outlineLevel="0" collapsed="false">
      <c r="A46" s="7" t="n">
        <v>45</v>
      </c>
      <c r="B46" s="7" t="s">
        <v>10</v>
      </c>
      <c r="C46" s="7" t="n">
        <v>315</v>
      </c>
      <c r="D46" s="7" t="s">
        <v>117</v>
      </c>
      <c r="E46" s="7" t="s">
        <v>48</v>
      </c>
      <c r="F46" s="10" t="s">
        <v>6</v>
      </c>
      <c r="G46" s="7" t="s">
        <v>54</v>
      </c>
      <c r="H46" s="7" t="s">
        <v>90</v>
      </c>
      <c r="I46" s="7" t="s">
        <v>91</v>
      </c>
      <c r="J46" s="9" t="s">
        <v>9</v>
      </c>
    </row>
    <row r="47" customFormat="false" ht="23.85" hidden="false" customHeight="false" outlineLevel="0" collapsed="false">
      <c r="A47" s="7" t="n">
        <v>46</v>
      </c>
      <c r="B47" s="7" t="s">
        <v>10</v>
      </c>
      <c r="C47" s="7" t="n">
        <v>316</v>
      </c>
      <c r="D47" s="7" t="s">
        <v>118</v>
      </c>
      <c r="E47" s="7" t="s">
        <v>48</v>
      </c>
      <c r="F47" s="10" t="s">
        <v>6</v>
      </c>
      <c r="G47" s="7" t="s">
        <v>54</v>
      </c>
      <c r="H47" s="7" t="s">
        <v>90</v>
      </c>
      <c r="I47" s="7" t="s">
        <v>91</v>
      </c>
      <c r="J47" s="9" t="s">
        <v>9</v>
      </c>
    </row>
    <row r="48" customFormat="false" ht="23.85" hidden="false" customHeight="false" outlineLevel="0" collapsed="false">
      <c r="A48" s="7" t="n">
        <v>47</v>
      </c>
      <c r="B48" s="7" t="s">
        <v>10</v>
      </c>
      <c r="C48" s="7" t="n">
        <v>317</v>
      </c>
      <c r="D48" s="7" t="s">
        <v>119</v>
      </c>
      <c r="E48" s="7" t="s">
        <v>48</v>
      </c>
      <c r="F48" s="10" t="s">
        <v>6</v>
      </c>
      <c r="G48" s="7" t="s">
        <v>54</v>
      </c>
      <c r="H48" s="7" t="s">
        <v>90</v>
      </c>
      <c r="I48" s="7" t="s">
        <v>91</v>
      </c>
      <c r="J48" s="9" t="s">
        <v>9</v>
      </c>
    </row>
    <row r="49" customFormat="false" ht="23.85" hidden="false" customHeight="false" outlineLevel="0" collapsed="false">
      <c r="A49" s="7" t="n">
        <v>48</v>
      </c>
      <c r="B49" s="7" t="s">
        <v>10</v>
      </c>
      <c r="C49" s="7" t="n">
        <v>352</v>
      </c>
      <c r="D49" s="7" t="s">
        <v>120</v>
      </c>
      <c r="E49" s="7" t="s">
        <v>48</v>
      </c>
      <c r="F49" s="10" t="s">
        <v>6</v>
      </c>
      <c r="G49" s="7" t="s">
        <v>54</v>
      </c>
      <c r="H49" s="7" t="s">
        <v>90</v>
      </c>
      <c r="I49" s="7" t="s">
        <v>91</v>
      </c>
      <c r="J49" s="9" t="s">
        <v>9</v>
      </c>
    </row>
    <row r="50" customFormat="false" ht="23.85" hidden="false" customHeight="false" outlineLevel="0" collapsed="false">
      <c r="A50" s="7" t="n">
        <v>49</v>
      </c>
      <c r="B50" s="7" t="s">
        <v>10</v>
      </c>
      <c r="C50" s="7" t="n">
        <v>353</v>
      </c>
      <c r="D50" s="7" t="s">
        <v>121</v>
      </c>
      <c r="E50" s="7" t="s">
        <v>48</v>
      </c>
      <c r="F50" s="10" t="s">
        <v>6</v>
      </c>
      <c r="G50" s="7" t="s">
        <v>54</v>
      </c>
      <c r="H50" s="7" t="s">
        <v>90</v>
      </c>
      <c r="I50" s="7" t="s">
        <v>91</v>
      </c>
      <c r="J50" s="9" t="s">
        <v>9</v>
      </c>
    </row>
    <row r="51" customFormat="false" ht="23.85" hidden="false" customHeight="false" outlineLevel="0" collapsed="false">
      <c r="A51" s="7" t="n">
        <v>50</v>
      </c>
      <c r="B51" s="7" t="s">
        <v>10</v>
      </c>
      <c r="C51" s="7" t="n">
        <v>354</v>
      </c>
      <c r="D51" s="7" t="s">
        <v>122</v>
      </c>
      <c r="E51" s="7" t="s">
        <v>48</v>
      </c>
      <c r="F51" s="10" t="s">
        <v>6</v>
      </c>
      <c r="G51" s="7" t="s">
        <v>54</v>
      </c>
      <c r="H51" s="7" t="s">
        <v>90</v>
      </c>
      <c r="I51" s="7" t="s">
        <v>91</v>
      </c>
      <c r="J51" s="9" t="s">
        <v>9</v>
      </c>
    </row>
    <row r="52" customFormat="false" ht="23.85" hidden="false" customHeight="false" outlineLevel="0" collapsed="false">
      <c r="A52" s="7" t="n">
        <v>51</v>
      </c>
      <c r="B52" s="7" t="s">
        <v>10</v>
      </c>
      <c r="C52" s="7" t="n">
        <v>355</v>
      </c>
      <c r="D52" s="7" t="s">
        <v>123</v>
      </c>
      <c r="E52" s="7" t="s">
        <v>48</v>
      </c>
      <c r="F52" s="10" t="s">
        <v>6</v>
      </c>
      <c r="G52" s="7" t="s">
        <v>54</v>
      </c>
      <c r="H52" s="7" t="s">
        <v>90</v>
      </c>
      <c r="I52" s="7" t="s">
        <v>91</v>
      </c>
      <c r="J52" s="9" t="s">
        <v>9</v>
      </c>
    </row>
    <row r="53" customFormat="false" ht="23.85" hidden="false" customHeight="false" outlineLevel="0" collapsed="false">
      <c r="A53" s="7" t="n">
        <v>52</v>
      </c>
      <c r="B53" s="7" t="s">
        <v>10</v>
      </c>
      <c r="C53" s="7" t="n">
        <v>356</v>
      </c>
      <c r="D53" s="7" t="s">
        <v>124</v>
      </c>
      <c r="E53" s="7" t="s">
        <v>48</v>
      </c>
      <c r="F53" s="10" t="s">
        <v>6</v>
      </c>
      <c r="G53" s="7" t="s">
        <v>54</v>
      </c>
      <c r="H53" s="7" t="s">
        <v>90</v>
      </c>
      <c r="I53" s="7" t="s">
        <v>91</v>
      </c>
      <c r="J53" s="9" t="s">
        <v>9</v>
      </c>
    </row>
    <row r="54" customFormat="false" ht="23.85" hidden="false" customHeight="false" outlineLevel="0" collapsed="false">
      <c r="A54" s="7" t="n">
        <v>53</v>
      </c>
      <c r="B54" s="7" t="s">
        <v>10</v>
      </c>
      <c r="C54" s="7" t="n">
        <v>357</v>
      </c>
      <c r="D54" s="7" t="s">
        <v>125</v>
      </c>
      <c r="E54" s="7" t="s">
        <v>48</v>
      </c>
      <c r="F54" s="10" t="s">
        <v>6</v>
      </c>
      <c r="G54" s="7" t="s">
        <v>54</v>
      </c>
      <c r="H54" s="7" t="s">
        <v>90</v>
      </c>
      <c r="I54" s="7" t="s">
        <v>91</v>
      </c>
      <c r="J54" s="9" t="s">
        <v>9</v>
      </c>
    </row>
    <row r="55" customFormat="false" ht="23.85" hidden="false" customHeight="false" outlineLevel="0" collapsed="false">
      <c r="A55" s="7" t="n">
        <v>54</v>
      </c>
      <c r="B55" s="7" t="s">
        <v>10</v>
      </c>
      <c r="C55" s="7" t="n">
        <v>358</v>
      </c>
      <c r="D55" s="7" t="s">
        <v>126</v>
      </c>
      <c r="E55" s="7" t="s">
        <v>48</v>
      </c>
      <c r="F55" s="10" t="s">
        <v>6</v>
      </c>
      <c r="G55" s="7" t="s">
        <v>54</v>
      </c>
      <c r="H55" s="7" t="s">
        <v>90</v>
      </c>
      <c r="I55" s="7" t="s">
        <v>91</v>
      </c>
      <c r="J55" s="9" t="s">
        <v>9</v>
      </c>
    </row>
    <row r="56" customFormat="false" ht="23.85" hidden="false" customHeight="false" outlineLevel="0" collapsed="false">
      <c r="A56" s="7" t="n">
        <v>55</v>
      </c>
      <c r="B56" s="7" t="s">
        <v>10</v>
      </c>
      <c r="C56" s="7" t="s">
        <v>127</v>
      </c>
      <c r="D56" s="7" t="s">
        <v>128</v>
      </c>
      <c r="E56" s="7" t="s">
        <v>129</v>
      </c>
      <c r="F56" s="10" t="s">
        <v>6</v>
      </c>
      <c r="G56" s="7" t="s">
        <v>130</v>
      </c>
      <c r="H56" s="7" t="s">
        <v>131</v>
      </c>
      <c r="I56" s="7" t="s">
        <v>132</v>
      </c>
      <c r="J56" s="9" t="s">
        <v>9</v>
      </c>
    </row>
    <row r="57" customFormat="false" ht="23.85" hidden="false" customHeight="false" outlineLevel="0" collapsed="false">
      <c r="A57" s="7" t="n">
        <v>56</v>
      </c>
      <c r="B57" s="7" t="s">
        <v>10</v>
      </c>
      <c r="C57" s="7"/>
      <c r="D57" s="7" t="s">
        <v>133</v>
      </c>
      <c r="E57" s="7" t="s">
        <v>134</v>
      </c>
      <c r="F57" s="11" t="s">
        <v>7</v>
      </c>
      <c r="G57" s="7" t="s">
        <v>130</v>
      </c>
      <c r="H57" s="7" t="s">
        <v>135</v>
      </c>
      <c r="I57" s="7" t="s">
        <v>136</v>
      </c>
      <c r="J57" s="9" t="s">
        <v>9</v>
      </c>
    </row>
    <row r="58" customFormat="false" ht="23.85" hidden="false" customHeight="false" outlineLevel="0" collapsed="false">
      <c r="A58" s="7" t="n">
        <v>57</v>
      </c>
      <c r="B58" s="7" t="s">
        <v>10</v>
      </c>
      <c r="C58" s="7"/>
      <c r="D58" s="7" t="s">
        <v>137</v>
      </c>
      <c r="E58" s="7" t="s">
        <v>138</v>
      </c>
      <c r="F58" s="11" t="s">
        <v>7</v>
      </c>
      <c r="G58" s="7" t="s">
        <v>41</v>
      </c>
      <c r="H58" s="7" t="s">
        <v>139</v>
      </c>
      <c r="I58" s="7" t="s">
        <v>140</v>
      </c>
      <c r="J58" s="9" t="s">
        <v>9</v>
      </c>
    </row>
    <row r="59" customFormat="false" ht="15" hidden="false" customHeight="false" outlineLevel="0" collapsed="false">
      <c r="A59" s="7" t="n">
        <v>58</v>
      </c>
      <c r="B59" s="7" t="s">
        <v>10</v>
      </c>
      <c r="C59" s="7" t="s">
        <v>141</v>
      </c>
      <c r="D59" s="7" t="s">
        <v>142</v>
      </c>
      <c r="E59" s="7" t="s">
        <v>143</v>
      </c>
      <c r="F59" s="11" t="s">
        <v>7</v>
      </c>
      <c r="G59" s="7" t="s">
        <v>130</v>
      </c>
      <c r="H59" s="7" t="s">
        <v>144</v>
      </c>
      <c r="I59" s="7" t="s">
        <v>145</v>
      </c>
      <c r="J59" s="9" t="s">
        <v>9</v>
      </c>
    </row>
    <row r="60" customFormat="false" ht="23.85" hidden="false" customHeight="false" outlineLevel="0" collapsed="false">
      <c r="A60" s="7" t="n">
        <v>59</v>
      </c>
      <c r="B60" s="7" t="s">
        <v>10</v>
      </c>
      <c r="C60" s="7" t="n">
        <v>219</v>
      </c>
      <c r="D60" s="7" t="s">
        <v>146</v>
      </c>
      <c r="E60" s="7" t="s">
        <v>93</v>
      </c>
      <c r="F60" s="11" t="s">
        <v>7</v>
      </c>
      <c r="G60" s="7" t="s">
        <v>94</v>
      </c>
      <c r="H60" s="7" t="s">
        <v>147</v>
      </c>
      <c r="I60" s="7" t="s">
        <v>148</v>
      </c>
      <c r="J60" s="9" t="s">
        <v>9</v>
      </c>
    </row>
    <row r="61" customFormat="false" ht="23.85" hidden="false" customHeight="false" outlineLevel="0" collapsed="false">
      <c r="A61" s="7" t="n">
        <v>60</v>
      </c>
      <c r="B61" s="7" t="s">
        <v>10</v>
      </c>
      <c r="C61" s="7" t="n">
        <v>220</v>
      </c>
      <c r="D61" s="7" t="s">
        <v>149</v>
      </c>
      <c r="E61" s="7" t="s">
        <v>93</v>
      </c>
      <c r="F61" s="11" t="s">
        <v>7</v>
      </c>
      <c r="G61" s="7" t="s">
        <v>94</v>
      </c>
      <c r="H61" s="7" t="s">
        <v>147</v>
      </c>
      <c r="I61" s="7" t="s">
        <v>148</v>
      </c>
      <c r="J61" s="9" t="s">
        <v>9</v>
      </c>
    </row>
    <row r="62" customFormat="false" ht="23.85" hidden="false" customHeight="false" outlineLevel="0" collapsed="false">
      <c r="A62" s="7" t="n">
        <v>61</v>
      </c>
      <c r="B62" s="7" t="s">
        <v>10</v>
      </c>
      <c r="C62" s="7" t="n">
        <v>221</v>
      </c>
      <c r="D62" s="7" t="s">
        <v>150</v>
      </c>
      <c r="E62" s="7" t="s">
        <v>93</v>
      </c>
      <c r="F62" s="11" t="s">
        <v>7</v>
      </c>
      <c r="G62" s="7" t="s">
        <v>94</v>
      </c>
      <c r="H62" s="7" t="s">
        <v>147</v>
      </c>
      <c r="I62" s="7" t="s">
        <v>148</v>
      </c>
      <c r="J62" s="9" t="s">
        <v>9</v>
      </c>
    </row>
    <row r="63" customFormat="false" ht="23.85" hidden="false" customHeight="false" outlineLevel="0" collapsed="false">
      <c r="A63" s="7" t="n">
        <v>62</v>
      </c>
      <c r="B63" s="7" t="s">
        <v>10</v>
      </c>
      <c r="C63" s="7" t="n">
        <v>248</v>
      </c>
      <c r="D63" s="7" t="s">
        <v>151</v>
      </c>
      <c r="E63" s="7" t="s">
        <v>93</v>
      </c>
      <c r="F63" s="11" t="s">
        <v>7</v>
      </c>
      <c r="G63" s="7" t="s">
        <v>94</v>
      </c>
      <c r="H63" s="7" t="s">
        <v>147</v>
      </c>
      <c r="I63" s="7" t="s">
        <v>148</v>
      </c>
      <c r="J63" s="9" t="s">
        <v>9</v>
      </c>
    </row>
    <row r="64" customFormat="false" ht="23.85" hidden="false" customHeight="false" outlineLevel="0" collapsed="false">
      <c r="A64" s="7" t="n">
        <v>63</v>
      </c>
      <c r="B64" s="7" t="s">
        <v>10</v>
      </c>
      <c r="C64" s="7" t="n">
        <v>272</v>
      </c>
      <c r="D64" s="7" t="s">
        <v>152</v>
      </c>
      <c r="E64" s="7" t="s">
        <v>93</v>
      </c>
      <c r="F64" s="11" t="s">
        <v>7</v>
      </c>
      <c r="G64" s="7" t="s">
        <v>94</v>
      </c>
      <c r="H64" s="7" t="s">
        <v>147</v>
      </c>
      <c r="I64" s="7" t="s">
        <v>148</v>
      </c>
      <c r="J64" s="9" t="s">
        <v>9</v>
      </c>
    </row>
    <row r="65" customFormat="false" ht="15" hidden="false" customHeight="false" outlineLevel="0" collapsed="false">
      <c r="A65" s="7" t="n">
        <v>64</v>
      </c>
      <c r="B65" s="7" t="s">
        <v>10</v>
      </c>
      <c r="C65" s="7" t="n">
        <v>279</v>
      </c>
      <c r="D65" s="7" t="s">
        <v>153</v>
      </c>
      <c r="E65" s="7" t="s">
        <v>48</v>
      </c>
      <c r="F65" s="11" t="s">
        <v>7</v>
      </c>
      <c r="G65" s="7" t="s">
        <v>130</v>
      </c>
      <c r="H65" s="7" t="s">
        <v>154</v>
      </c>
      <c r="I65" s="7" t="s">
        <v>155</v>
      </c>
      <c r="J65" s="9" t="s">
        <v>9</v>
      </c>
    </row>
    <row r="66" customFormat="false" ht="15" hidden="false" customHeight="false" outlineLevel="0" collapsed="false">
      <c r="A66" s="7" t="n">
        <v>65</v>
      </c>
      <c r="B66" s="7" t="s">
        <v>10</v>
      </c>
      <c r="C66" s="7" t="n">
        <v>280</v>
      </c>
      <c r="D66" s="7" t="s">
        <v>156</v>
      </c>
      <c r="E66" s="7" t="s">
        <v>48</v>
      </c>
      <c r="F66" s="11" t="s">
        <v>7</v>
      </c>
      <c r="G66" s="7" t="s">
        <v>130</v>
      </c>
      <c r="H66" s="7" t="s">
        <v>154</v>
      </c>
      <c r="I66" s="7" t="s">
        <v>155</v>
      </c>
      <c r="J66" s="9" t="s">
        <v>9</v>
      </c>
    </row>
    <row r="67" customFormat="false" ht="23.85" hidden="false" customHeight="false" outlineLevel="0" collapsed="false">
      <c r="A67" s="7" t="n">
        <v>66</v>
      </c>
      <c r="B67" s="7" t="s">
        <v>10</v>
      </c>
      <c r="C67" s="7" t="n">
        <v>337</v>
      </c>
      <c r="D67" s="7" t="s">
        <v>157</v>
      </c>
      <c r="E67" s="7" t="s">
        <v>158</v>
      </c>
      <c r="F67" s="11" t="s">
        <v>7</v>
      </c>
      <c r="G67" s="7" t="s">
        <v>94</v>
      </c>
      <c r="H67" s="7" t="s">
        <v>159</v>
      </c>
      <c r="I67" s="7" t="s">
        <v>160</v>
      </c>
      <c r="J67" s="9" t="s">
        <v>9</v>
      </c>
    </row>
    <row r="68" customFormat="false" ht="23.85" hidden="false" customHeight="false" outlineLevel="0" collapsed="false">
      <c r="A68" s="7" t="n">
        <v>67</v>
      </c>
      <c r="B68" s="7" t="s">
        <v>10</v>
      </c>
      <c r="C68" s="7" t="n">
        <v>338</v>
      </c>
      <c r="D68" s="7" t="s">
        <v>161</v>
      </c>
      <c r="E68" s="7" t="s">
        <v>158</v>
      </c>
      <c r="F68" s="11" t="s">
        <v>7</v>
      </c>
      <c r="G68" s="7" t="s">
        <v>94</v>
      </c>
      <c r="H68" s="7" t="s">
        <v>159</v>
      </c>
      <c r="I68" s="7" t="s">
        <v>160</v>
      </c>
      <c r="J68" s="9" t="s">
        <v>9</v>
      </c>
    </row>
    <row r="69" customFormat="false" ht="23.85" hidden="false" customHeight="false" outlineLevel="0" collapsed="false">
      <c r="A69" s="7" t="n">
        <v>68</v>
      </c>
      <c r="B69" s="7" t="s">
        <v>10</v>
      </c>
      <c r="C69" s="7" t="n">
        <v>340</v>
      </c>
      <c r="D69" s="7" t="s">
        <v>162</v>
      </c>
      <c r="E69" s="7" t="s">
        <v>158</v>
      </c>
      <c r="F69" s="11" t="s">
        <v>7</v>
      </c>
      <c r="G69" s="7" t="s">
        <v>94</v>
      </c>
      <c r="H69" s="7" t="s">
        <v>159</v>
      </c>
      <c r="I69" s="7" t="s">
        <v>160</v>
      </c>
      <c r="J69" s="9" t="s">
        <v>9</v>
      </c>
    </row>
    <row r="70" customFormat="false" ht="23.85" hidden="false" customHeight="false" outlineLevel="0" collapsed="false">
      <c r="A70" s="7" t="n">
        <v>69</v>
      </c>
      <c r="B70" s="7" t="s">
        <v>10</v>
      </c>
      <c r="C70" s="7" t="n">
        <v>342</v>
      </c>
      <c r="D70" s="7" t="s">
        <v>163</v>
      </c>
      <c r="E70" s="7" t="s">
        <v>158</v>
      </c>
      <c r="F70" s="11" t="s">
        <v>7</v>
      </c>
      <c r="G70" s="7" t="s">
        <v>94</v>
      </c>
      <c r="H70" s="7" t="s">
        <v>159</v>
      </c>
      <c r="I70" s="7" t="s">
        <v>160</v>
      </c>
      <c r="J70" s="9" t="s">
        <v>9</v>
      </c>
    </row>
    <row r="71" customFormat="false" ht="23.85" hidden="false" customHeight="false" outlineLevel="0" collapsed="false">
      <c r="A71" s="7" t="n">
        <v>70</v>
      </c>
      <c r="B71" s="7" t="s">
        <v>10</v>
      </c>
      <c r="C71" s="7" t="n">
        <v>343</v>
      </c>
      <c r="D71" s="7" t="s">
        <v>164</v>
      </c>
      <c r="E71" s="7" t="s">
        <v>158</v>
      </c>
      <c r="F71" s="11" t="s">
        <v>7</v>
      </c>
      <c r="G71" s="7" t="s">
        <v>94</v>
      </c>
      <c r="H71" s="7" t="s">
        <v>159</v>
      </c>
      <c r="I71" s="7" t="s">
        <v>160</v>
      </c>
      <c r="J71" s="9" t="s">
        <v>9</v>
      </c>
    </row>
    <row r="72" customFormat="false" ht="23.85" hidden="false" customHeight="false" outlineLevel="0" collapsed="false">
      <c r="A72" s="7" t="n">
        <v>71</v>
      </c>
      <c r="B72" s="7" t="s">
        <v>10</v>
      </c>
      <c r="C72" s="7" t="n">
        <v>344</v>
      </c>
      <c r="D72" s="7" t="s">
        <v>165</v>
      </c>
      <c r="E72" s="7" t="s">
        <v>158</v>
      </c>
      <c r="F72" s="11" t="s">
        <v>7</v>
      </c>
      <c r="G72" s="7" t="s">
        <v>94</v>
      </c>
      <c r="H72" s="7" t="s">
        <v>159</v>
      </c>
      <c r="I72" s="7" t="s">
        <v>160</v>
      </c>
      <c r="J72" s="9" t="s">
        <v>9</v>
      </c>
    </row>
    <row r="73" customFormat="false" ht="23.85" hidden="false" customHeight="false" outlineLevel="0" collapsed="false">
      <c r="A73" s="7" t="n">
        <v>72</v>
      </c>
      <c r="B73" s="7" t="s">
        <v>10</v>
      </c>
      <c r="C73" s="7" t="n">
        <v>345</v>
      </c>
      <c r="D73" s="7" t="s">
        <v>166</v>
      </c>
      <c r="E73" s="7" t="s">
        <v>158</v>
      </c>
      <c r="F73" s="11" t="s">
        <v>7</v>
      </c>
      <c r="G73" s="7" t="s">
        <v>94</v>
      </c>
      <c r="H73" s="7" t="s">
        <v>159</v>
      </c>
      <c r="I73" s="7" t="s">
        <v>160</v>
      </c>
      <c r="J73" s="9" t="s">
        <v>9</v>
      </c>
    </row>
    <row r="74" customFormat="false" ht="23.85" hidden="false" customHeight="false" outlineLevel="0" collapsed="false">
      <c r="A74" s="7" t="n">
        <v>73</v>
      </c>
      <c r="B74" s="7" t="s">
        <v>10</v>
      </c>
      <c r="C74" s="7" t="n">
        <v>347</v>
      </c>
      <c r="D74" s="7" t="s">
        <v>167</v>
      </c>
      <c r="E74" s="7" t="s">
        <v>158</v>
      </c>
      <c r="F74" s="11" t="s">
        <v>7</v>
      </c>
      <c r="G74" s="7" t="s">
        <v>94</v>
      </c>
      <c r="H74" s="7" t="s">
        <v>159</v>
      </c>
      <c r="I74" s="7" t="s">
        <v>160</v>
      </c>
      <c r="J74" s="9" t="s">
        <v>9</v>
      </c>
    </row>
    <row r="75" customFormat="false" ht="23.85" hidden="false" customHeight="false" outlineLevel="0" collapsed="false">
      <c r="A75" s="7" t="n">
        <v>74</v>
      </c>
      <c r="B75" s="7" t="s">
        <v>10</v>
      </c>
      <c r="C75" s="7" t="n">
        <v>348</v>
      </c>
      <c r="D75" s="7" t="s">
        <v>168</v>
      </c>
      <c r="E75" s="7" t="s">
        <v>158</v>
      </c>
      <c r="F75" s="11" t="s">
        <v>7</v>
      </c>
      <c r="G75" s="7" t="s">
        <v>94</v>
      </c>
      <c r="H75" s="7" t="s">
        <v>159</v>
      </c>
      <c r="I75" s="7" t="s">
        <v>160</v>
      </c>
      <c r="J75" s="9" t="s">
        <v>9</v>
      </c>
    </row>
    <row r="76" customFormat="false" ht="23.85" hidden="false" customHeight="false" outlineLevel="0" collapsed="false">
      <c r="A76" s="7" t="n">
        <v>75</v>
      </c>
      <c r="B76" s="7" t="s">
        <v>10</v>
      </c>
      <c r="C76" s="7" t="n">
        <v>349</v>
      </c>
      <c r="D76" s="7" t="s">
        <v>169</v>
      </c>
      <c r="E76" s="7" t="s">
        <v>158</v>
      </c>
      <c r="F76" s="11" t="s">
        <v>7</v>
      </c>
      <c r="G76" s="7" t="s">
        <v>94</v>
      </c>
      <c r="H76" s="7" t="s">
        <v>159</v>
      </c>
      <c r="I76" s="7" t="s">
        <v>160</v>
      </c>
      <c r="J76" s="9" t="s">
        <v>9</v>
      </c>
    </row>
    <row r="77" customFormat="false" ht="23.85" hidden="false" customHeight="false" outlineLevel="0" collapsed="false">
      <c r="A77" s="7" t="n">
        <v>76</v>
      </c>
      <c r="B77" s="7" t="s">
        <v>10</v>
      </c>
      <c r="C77" s="7" t="n">
        <v>350</v>
      </c>
      <c r="D77" s="7" t="s">
        <v>170</v>
      </c>
      <c r="E77" s="7" t="s">
        <v>158</v>
      </c>
      <c r="F77" s="11" t="s">
        <v>7</v>
      </c>
      <c r="G77" s="7" t="s">
        <v>94</v>
      </c>
      <c r="H77" s="7" t="s">
        <v>159</v>
      </c>
      <c r="I77" s="7" t="s">
        <v>160</v>
      </c>
      <c r="J77" s="9" t="s">
        <v>9</v>
      </c>
    </row>
    <row r="78" customFormat="false" ht="23.85" hidden="false" customHeight="false" outlineLevel="0" collapsed="false">
      <c r="A78" s="7" t="n">
        <v>77</v>
      </c>
      <c r="B78" s="7" t="s">
        <v>10</v>
      </c>
      <c r="C78" s="7" t="n">
        <v>351</v>
      </c>
      <c r="D78" s="7" t="s">
        <v>171</v>
      </c>
      <c r="E78" s="7" t="s">
        <v>158</v>
      </c>
      <c r="F78" s="11" t="s">
        <v>7</v>
      </c>
      <c r="G78" s="7" t="s">
        <v>94</v>
      </c>
      <c r="H78" s="7" t="s">
        <v>159</v>
      </c>
      <c r="I78" s="7" t="s">
        <v>160</v>
      </c>
      <c r="J78" s="9" t="s">
        <v>9</v>
      </c>
    </row>
    <row r="79" customFormat="false" ht="23.85" hidden="false" customHeight="false" outlineLevel="0" collapsed="false">
      <c r="A79" s="7" t="n">
        <v>78</v>
      </c>
      <c r="B79" s="7" t="s">
        <v>10</v>
      </c>
      <c r="C79" s="7" t="n">
        <v>354</v>
      </c>
      <c r="D79" s="7" t="s">
        <v>122</v>
      </c>
      <c r="E79" s="7" t="s">
        <v>158</v>
      </c>
      <c r="F79" s="11" t="s">
        <v>7</v>
      </c>
      <c r="G79" s="7" t="s">
        <v>94</v>
      </c>
      <c r="H79" s="7" t="s">
        <v>159</v>
      </c>
      <c r="I79" s="7" t="s">
        <v>160</v>
      </c>
      <c r="J79" s="9" t="s">
        <v>9</v>
      </c>
    </row>
    <row r="80" customFormat="false" ht="23.85" hidden="false" customHeight="false" outlineLevel="0" collapsed="false">
      <c r="A80" s="7" t="n">
        <v>79</v>
      </c>
      <c r="B80" s="7" t="s">
        <v>10</v>
      </c>
      <c r="C80" s="7" t="n">
        <v>356</v>
      </c>
      <c r="D80" s="7" t="s">
        <v>124</v>
      </c>
      <c r="E80" s="7" t="s">
        <v>158</v>
      </c>
      <c r="F80" s="11" t="s">
        <v>7</v>
      </c>
      <c r="G80" s="7" t="s">
        <v>94</v>
      </c>
      <c r="H80" s="7" t="s">
        <v>159</v>
      </c>
      <c r="I80" s="7" t="s">
        <v>160</v>
      </c>
      <c r="J80" s="9" t="s">
        <v>9</v>
      </c>
    </row>
    <row r="81" customFormat="false" ht="23.85" hidden="false" customHeight="false" outlineLevel="0" collapsed="false">
      <c r="A81" s="7" t="n">
        <v>80</v>
      </c>
      <c r="B81" s="7" t="s">
        <v>10</v>
      </c>
      <c r="C81" s="7" t="n">
        <v>358</v>
      </c>
      <c r="D81" s="7" t="s">
        <v>126</v>
      </c>
      <c r="E81" s="7" t="s">
        <v>158</v>
      </c>
      <c r="F81" s="11" t="s">
        <v>7</v>
      </c>
      <c r="G81" s="7" t="s">
        <v>94</v>
      </c>
      <c r="H81" s="7" t="s">
        <v>159</v>
      </c>
      <c r="I81" s="7" t="s">
        <v>160</v>
      </c>
      <c r="J81" s="9" t="s">
        <v>9</v>
      </c>
    </row>
    <row r="82" customFormat="false" ht="23.85" hidden="false" customHeight="false" outlineLevel="0" collapsed="false">
      <c r="A82" s="7" t="n">
        <v>81</v>
      </c>
      <c r="B82" s="7" t="s">
        <v>11</v>
      </c>
      <c r="C82" s="7"/>
      <c r="D82" s="7" t="s">
        <v>39</v>
      </c>
      <c r="E82" s="7" t="s">
        <v>44</v>
      </c>
      <c r="F82" s="8" t="s">
        <v>5</v>
      </c>
      <c r="G82" s="7" t="s">
        <v>41</v>
      </c>
      <c r="H82" s="7" t="s">
        <v>45</v>
      </c>
      <c r="I82" s="7" t="s">
        <v>46</v>
      </c>
      <c r="J82" s="9" t="s">
        <v>9</v>
      </c>
    </row>
    <row r="83" customFormat="false" ht="15" hidden="false" customHeight="false" outlineLevel="0" collapsed="false">
      <c r="A83" s="7" t="n">
        <v>82</v>
      </c>
      <c r="B83" s="7" t="s">
        <v>11</v>
      </c>
      <c r="C83" s="7"/>
      <c r="D83" s="7" t="s">
        <v>39</v>
      </c>
      <c r="E83" s="7" t="s">
        <v>172</v>
      </c>
      <c r="F83" s="10" t="s">
        <v>6</v>
      </c>
      <c r="G83" s="7" t="s">
        <v>41</v>
      </c>
      <c r="H83" s="7" t="s">
        <v>173</v>
      </c>
      <c r="I83" s="7" t="s">
        <v>174</v>
      </c>
      <c r="J83" s="9" t="s">
        <v>9</v>
      </c>
    </row>
    <row r="84" customFormat="false" ht="23.85" hidden="false" customHeight="false" outlineLevel="0" collapsed="false">
      <c r="A84" s="7" t="n">
        <v>83</v>
      </c>
      <c r="B84" s="7" t="s">
        <v>11</v>
      </c>
      <c r="C84" s="7"/>
      <c r="D84" s="7" t="s">
        <v>175</v>
      </c>
      <c r="E84" s="7" t="s">
        <v>176</v>
      </c>
      <c r="F84" s="10" t="s">
        <v>6</v>
      </c>
      <c r="G84" s="7" t="s">
        <v>86</v>
      </c>
      <c r="H84" s="7" t="s">
        <v>177</v>
      </c>
      <c r="I84" s="7" t="s">
        <v>178</v>
      </c>
      <c r="J84" s="9" t="s">
        <v>9</v>
      </c>
    </row>
    <row r="85" customFormat="false" ht="23.85" hidden="false" customHeight="false" outlineLevel="0" collapsed="false">
      <c r="A85" s="7" t="n">
        <v>84</v>
      </c>
      <c r="B85" s="7" t="s">
        <v>11</v>
      </c>
      <c r="C85" s="7"/>
      <c r="D85" s="7" t="s">
        <v>179</v>
      </c>
      <c r="E85" s="7" t="s">
        <v>180</v>
      </c>
      <c r="F85" s="10" t="s">
        <v>6</v>
      </c>
      <c r="G85" s="7" t="s">
        <v>181</v>
      </c>
      <c r="H85" s="7" t="s">
        <v>182</v>
      </c>
      <c r="I85" s="7" t="s">
        <v>183</v>
      </c>
      <c r="J85" s="9" t="s">
        <v>9</v>
      </c>
    </row>
    <row r="86" customFormat="false" ht="23.85" hidden="false" customHeight="false" outlineLevel="0" collapsed="false">
      <c r="A86" s="7" t="n">
        <v>85</v>
      </c>
      <c r="B86" s="7" t="s">
        <v>11</v>
      </c>
      <c r="C86" s="7" t="n">
        <v>2</v>
      </c>
      <c r="D86" s="7" t="s">
        <v>184</v>
      </c>
      <c r="E86" s="7" t="s">
        <v>185</v>
      </c>
      <c r="F86" s="10" t="s">
        <v>6</v>
      </c>
      <c r="G86" s="7" t="s">
        <v>94</v>
      </c>
      <c r="H86" s="7" t="s">
        <v>186</v>
      </c>
      <c r="I86" s="7" t="s">
        <v>187</v>
      </c>
      <c r="J86" s="9" t="s">
        <v>9</v>
      </c>
    </row>
    <row r="87" customFormat="false" ht="23.85" hidden="false" customHeight="false" outlineLevel="0" collapsed="false">
      <c r="A87" s="7" t="n">
        <v>86</v>
      </c>
      <c r="B87" s="7" t="s">
        <v>11</v>
      </c>
      <c r="C87" s="7" t="n">
        <v>7</v>
      </c>
      <c r="D87" s="7" t="s">
        <v>188</v>
      </c>
      <c r="E87" s="7" t="s">
        <v>189</v>
      </c>
      <c r="F87" s="10" t="s">
        <v>6</v>
      </c>
      <c r="G87" s="7" t="s">
        <v>181</v>
      </c>
      <c r="H87" s="7" t="s">
        <v>190</v>
      </c>
      <c r="I87" s="7" t="s">
        <v>191</v>
      </c>
      <c r="J87" s="9" t="s">
        <v>9</v>
      </c>
    </row>
    <row r="88" customFormat="false" ht="23.85" hidden="false" customHeight="false" outlineLevel="0" collapsed="false">
      <c r="A88" s="7" t="n">
        <v>87</v>
      </c>
      <c r="B88" s="7" t="s">
        <v>11</v>
      </c>
      <c r="C88" s="7" t="n">
        <v>8</v>
      </c>
      <c r="D88" s="7" t="s">
        <v>192</v>
      </c>
      <c r="E88" s="7" t="s">
        <v>189</v>
      </c>
      <c r="F88" s="10" t="s">
        <v>6</v>
      </c>
      <c r="G88" s="7" t="s">
        <v>181</v>
      </c>
      <c r="H88" s="7" t="s">
        <v>190</v>
      </c>
      <c r="I88" s="7" t="s">
        <v>191</v>
      </c>
      <c r="J88" s="9" t="s">
        <v>9</v>
      </c>
    </row>
    <row r="89" customFormat="false" ht="23.85" hidden="false" customHeight="false" outlineLevel="0" collapsed="false">
      <c r="A89" s="7" t="n">
        <v>88</v>
      </c>
      <c r="B89" s="7" t="s">
        <v>11</v>
      </c>
      <c r="C89" s="7" t="n">
        <v>9</v>
      </c>
      <c r="D89" s="7" t="s">
        <v>193</v>
      </c>
      <c r="E89" s="7" t="s">
        <v>189</v>
      </c>
      <c r="F89" s="10" t="s">
        <v>6</v>
      </c>
      <c r="G89" s="7" t="s">
        <v>181</v>
      </c>
      <c r="H89" s="7" t="s">
        <v>190</v>
      </c>
      <c r="I89" s="7" t="s">
        <v>191</v>
      </c>
      <c r="J89" s="9" t="s">
        <v>9</v>
      </c>
    </row>
    <row r="90" customFormat="false" ht="23.85" hidden="false" customHeight="false" outlineLevel="0" collapsed="false">
      <c r="A90" s="7" t="n">
        <v>89</v>
      </c>
      <c r="B90" s="7" t="s">
        <v>11</v>
      </c>
      <c r="C90" s="7" t="n">
        <v>10</v>
      </c>
      <c r="D90" s="7" t="s">
        <v>194</v>
      </c>
      <c r="E90" s="7" t="s">
        <v>189</v>
      </c>
      <c r="F90" s="10" t="s">
        <v>6</v>
      </c>
      <c r="G90" s="7" t="s">
        <v>181</v>
      </c>
      <c r="H90" s="7" t="s">
        <v>190</v>
      </c>
      <c r="I90" s="7" t="s">
        <v>191</v>
      </c>
      <c r="J90" s="9" t="s">
        <v>9</v>
      </c>
    </row>
    <row r="91" customFormat="false" ht="23.85" hidden="false" customHeight="false" outlineLevel="0" collapsed="false">
      <c r="A91" s="7" t="n">
        <v>90</v>
      </c>
      <c r="B91" s="7" t="s">
        <v>11</v>
      </c>
      <c r="C91" s="7" t="n">
        <v>14</v>
      </c>
      <c r="D91" s="7" t="s">
        <v>195</v>
      </c>
      <c r="E91" s="7" t="s">
        <v>189</v>
      </c>
      <c r="F91" s="10" t="s">
        <v>6</v>
      </c>
      <c r="G91" s="7" t="s">
        <v>181</v>
      </c>
      <c r="H91" s="7" t="s">
        <v>190</v>
      </c>
      <c r="I91" s="7" t="s">
        <v>191</v>
      </c>
      <c r="J91" s="9" t="s">
        <v>9</v>
      </c>
    </row>
    <row r="92" customFormat="false" ht="23.85" hidden="false" customHeight="false" outlineLevel="0" collapsed="false">
      <c r="A92" s="7" t="n">
        <v>91</v>
      </c>
      <c r="B92" s="7" t="s">
        <v>11</v>
      </c>
      <c r="C92" s="7" t="n">
        <v>15</v>
      </c>
      <c r="D92" s="7" t="s">
        <v>196</v>
      </c>
      <c r="E92" s="7" t="s">
        <v>189</v>
      </c>
      <c r="F92" s="10" t="s">
        <v>6</v>
      </c>
      <c r="G92" s="7" t="s">
        <v>181</v>
      </c>
      <c r="H92" s="7" t="s">
        <v>190</v>
      </c>
      <c r="I92" s="7" t="s">
        <v>191</v>
      </c>
      <c r="J92" s="9" t="s">
        <v>9</v>
      </c>
    </row>
    <row r="93" customFormat="false" ht="23.85" hidden="false" customHeight="false" outlineLevel="0" collapsed="false">
      <c r="A93" s="7" t="n">
        <v>92</v>
      </c>
      <c r="B93" s="7" t="s">
        <v>11</v>
      </c>
      <c r="C93" s="7" t="n">
        <v>18</v>
      </c>
      <c r="D93" s="7" t="s">
        <v>197</v>
      </c>
      <c r="E93" s="7" t="s">
        <v>189</v>
      </c>
      <c r="F93" s="10" t="s">
        <v>6</v>
      </c>
      <c r="G93" s="7" t="s">
        <v>181</v>
      </c>
      <c r="H93" s="7" t="s">
        <v>190</v>
      </c>
      <c r="I93" s="7" t="s">
        <v>191</v>
      </c>
      <c r="J93" s="9" t="s">
        <v>9</v>
      </c>
    </row>
    <row r="94" customFormat="false" ht="23.85" hidden="false" customHeight="false" outlineLevel="0" collapsed="false">
      <c r="A94" s="7" t="n">
        <v>93</v>
      </c>
      <c r="B94" s="7" t="s">
        <v>11</v>
      </c>
      <c r="C94" s="7" t="n">
        <v>20</v>
      </c>
      <c r="D94" s="7" t="s">
        <v>198</v>
      </c>
      <c r="E94" s="7" t="s">
        <v>189</v>
      </c>
      <c r="F94" s="10" t="s">
        <v>6</v>
      </c>
      <c r="G94" s="7" t="s">
        <v>181</v>
      </c>
      <c r="H94" s="7" t="s">
        <v>190</v>
      </c>
      <c r="I94" s="7" t="s">
        <v>191</v>
      </c>
      <c r="J94" s="9" t="s">
        <v>9</v>
      </c>
    </row>
    <row r="95" customFormat="false" ht="23.85" hidden="false" customHeight="false" outlineLevel="0" collapsed="false">
      <c r="A95" s="7" t="n">
        <v>94</v>
      </c>
      <c r="B95" s="7" t="s">
        <v>11</v>
      </c>
      <c r="C95" s="7" t="n">
        <v>21</v>
      </c>
      <c r="D95" s="7" t="s">
        <v>199</v>
      </c>
      <c r="E95" s="7" t="s">
        <v>189</v>
      </c>
      <c r="F95" s="10" t="s">
        <v>6</v>
      </c>
      <c r="G95" s="7" t="s">
        <v>181</v>
      </c>
      <c r="H95" s="7" t="s">
        <v>190</v>
      </c>
      <c r="I95" s="7" t="s">
        <v>191</v>
      </c>
      <c r="J95" s="9" t="s">
        <v>9</v>
      </c>
    </row>
    <row r="96" customFormat="false" ht="23.85" hidden="false" customHeight="false" outlineLevel="0" collapsed="false">
      <c r="A96" s="7" t="n">
        <v>95</v>
      </c>
      <c r="B96" s="7" t="s">
        <v>11</v>
      </c>
      <c r="C96" s="7" t="n">
        <v>22</v>
      </c>
      <c r="D96" s="7" t="s">
        <v>200</v>
      </c>
      <c r="E96" s="7" t="s">
        <v>189</v>
      </c>
      <c r="F96" s="10" t="s">
        <v>6</v>
      </c>
      <c r="G96" s="7" t="s">
        <v>181</v>
      </c>
      <c r="H96" s="7" t="s">
        <v>190</v>
      </c>
      <c r="I96" s="7" t="s">
        <v>191</v>
      </c>
      <c r="J96" s="9" t="s">
        <v>9</v>
      </c>
    </row>
    <row r="97" customFormat="false" ht="23.85" hidden="false" customHeight="false" outlineLevel="0" collapsed="false">
      <c r="A97" s="7" t="n">
        <v>96</v>
      </c>
      <c r="B97" s="7" t="s">
        <v>11</v>
      </c>
      <c r="C97" s="7" t="n">
        <v>23</v>
      </c>
      <c r="D97" s="7" t="s">
        <v>201</v>
      </c>
      <c r="E97" s="7" t="s">
        <v>189</v>
      </c>
      <c r="F97" s="10" t="s">
        <v>6</v>
      </c>
      <c r="G97" s="7" t="s">
        <v>181</v>
      </c>
      <c r="H97" s="7" t="s">
        <v>190</v>
      </c>
      <c r="I97" s="7" t="s">
        <v>191</v>
      </c>
      <c r="J97" s="9" t="s">
        <v>9</v>
      </c>
    </row>
    <row r="98" customFormat="false" ht="23.85" hidden="false" customHeight="false" outlineLevel="0" collapsed="false">
      <c r="A98" s="7" t="n">
        <v>97</v>
      </c>
      <c r="B98" s="7" t="s">
        <v>11</v>
      </c>
      <c r="C98" s="7" t="n">
        <v>24</v>
      </c>
      <c r="D98" s="7" t="s">
        <v>202</v>
      </c>
      <c r="E98" s="7" t="s">
        <v>189</v>
      </c>
      <c r="F98" s="10" t="s">
        <v>6</v>
      </c>
      <c r="G98" s="7" t="s">
        <v>181</v>
      </c>
      <c r="H98" s="7" t="s">
        <v>190</v>
      </c>
      <c r="I98" s="7" t="s">
        <v>191</v>
      </c>
      <c r="J98" s="9" t="s">
        <v>9</v>
      </c>
    </row>
    <row r="99" customFormat="false" ht="23.85" hidden="false" customHeight="false" outlineLevel="0" collapsed="false">
      <c r="A99" s="7" t="n">
        <v>98</v>
      </c>
      <c r="B99" s="7" t="s">
        <v>11</v>
      </c>
      <c r="C99" s="7" t="n">
        <v>41</v>
      </c>
      <c r="D99" s="7" t="s">
        <v>203</v>
      </c>
      <c r="E99" s="7" t="s">
        <v>189</v>
      </c>
      <c r="F99" s="10" t="s">
        <v>6</v>
      </c>
      <c r="G99" s="7" t="s">
        <v>181</v>
      </c>
      <c r="H99" s="7" t="s">
        <v>190</v>
      </c>
      <c r="I99" s="7" t="s">
        <v>191</v>
      </c>
      <c r="J99" s="9" t="s">
        <v>9</v>
      </c>
    </row>
    <row r="100" customFormat="false" ht="15" hidden="false" customHeight="false" outlineLevel="0" collapsed="false">
      <c r="A100" s="7" t="n">
        <v>99</v>
      </c>
      <c r="B100" s="7" t="s">
        <v>11</v>
      </c>
      <c r="C100" s="7" t="n">
        <v>42</v>
      </c>
      <c r="D100" s="7" t="s">
        <v>204</v>
      </c>
      <c r="E100" s="7" t="s">
        <v>172</v>
      </c>
      <c r="F100" s="10" t="s">
        <v>6</v>
      </c>
      <c r="G100" s="7" t="s">
        <v>54</v>
      </c>
      <c r="H100" s="7" t="s">
        <v>205</v>
      </c>
      <c r="I100" s="7" t="s">
        <v>206</v>
      </c>
      <c r="J100" s="9" t="s">
        <v>9</v>
      </c>
    </row>
    <row r="101" customFormat="false" ht="15" hidden="false" customHeight="false" outlineLevel="0" collapsed="false">
      <c r="A101" s="7" t="n">
        <v>100</v>
      </c>
      <c r="B101" s="7" t="s">
        <v>11</v>
      </c>
      <c r="C101" s="7" t="n">
        <v>43</v>
      </c>
      <c r="D101" s="7" t="s">
        <v>207</v>
      </c>
      <c r="E101" s="7" t="s">
        <v>172</v>
      </c>
      <c r="F101" s="10" t="s">
        <v>6</v>
      </c>
      <c r="G101" s="7" t="s">
        <v>54</v>
      </c>
      <c r="H101" s="7" t="s">
        <v>205</v>
      </c>
      <c r="I101" s="7" t="s">
        <v>206</v>
      </c>
      <c r="J101" s="9" t="s">
        <v>9</v>
      </c>
    </row>
    <row r="102" customFormat="false" ht="15" hidden="false" customHeight="false" outlineLevel="0" collapsed="false">
      <c r="A102" s="7" t="n">
        <v>101</v>
      </c>
      <c r="B102" s="7" t="s">
        <v>11</v>
      </c>
      <c r="C102" s="7" t="n">
        <v>44</v>
      </c>
      <c r="D102" s="7" t="s">
        <v>208</v>
      </c>
      <c r="E102" s="7" t="s">
        <v>172</v>
      </c>
      <c r="F102" s="10" t="s">
        <v>6</v>
      </c>
      <c r="G102" s="7" t="s">
        <v>54</v>
      </c>
      <c r="H102" s="7" t="s">
        <v>205</v>
      </c>
      <c r="I102" s="7" t="s">
        <v>206</v>
      </c>
      <c r="J102" s="9" t="s">
        <v>9</v>
      </c>
    </row>
    <row r="103" customFormat="false" ht="15" hidden="false" customHeight="false" outlineLevel="0" collapsed="false">
      <c r="A103" s="7" t="n">
        <v>102</v>
      </c>
      <c r="B103" s="7" t="s">
        <v>11</v>
      </c>
      <c r="C103" s="7" t="n">
        <v>45</v>
      </c>
      <c r="D103" s="7" t="s">
        <v>209</v>
      </c>
      <c r="E103" s="7" t="s">
        <v>180</v>
      </c>
      <c r="F103" s="10" t="s">
        <v>6</v>
      </c>
      <c r="G103" s="7" t="s">
        <v>49</v>
      </c>
      <c r="H103" s="7" t="s">
        <v>210</v>
      </c>
      <c r="I103" s="7" t="s">
        <v>211</v>
      </c>
      <c r="J103" s="9" t="s">
        <v>9</v>
      </c>
    </row>
    <row r="104" customFormat="false" ht="15" hidden="false" customHeight="false" outlineLevel="0" collapsed="false">
      <c r="A104" s="7" t="n">
        <v>103</v>
      </c>
      <c r="B104" s="7" t="s">
        <v>11</v>
      </c>
      <c r="C104" s="7" t="n">
        <v>45</v>
      </c>
      <c r="D104" s="7" t="s">
        <v>209</v>
      </c>
      <c r="E104" s="7" t="s">
        <v>172</v>
      </c>
      <c r="F104" s="10" t="s">
        <v>6</v>
      </c>
      <c r="G104" s="7" t="s">
        <v>54</v>
      </c>
      <c r="H104" s="7" t="s">
        <v>205</v>
      </c>
      <c r="I104" s="7" t="s">
        <v>206</v>
      </c>
      <c r="J104" s="9" t="s">
        <v>9</v>
      </c>
    </row>
    <row r="105" customFormat="false" ht="15" hidden="false" customHeight="false" outlineLevel="0" collapsed="false">
      <c r="A105" s="7" t="n">
        <v>104</v>
      </c>
      <c r="B105" s="7" t="s">
        <v>11</v>
      </c>
      <c r="C105" s="7" t="n">
        <v>46</v>
      </c>
      <c r="D105" s="7" t="s">
        <v>212</v>
      </c>
      <c r="E105" s="7" t="s">
        <v>180</v>
      </c>
      <c r="F105" s="10" t="s">
        <v>6</v>
      </c>
      <c r="G105" s="7" t="s">
        <v>49</v>
      </c>
      <c r="H105" s="7" t="s">
        <v>210</v>
      </c>
      <c r="I105" s="7" t="s">
        <v>211</v>
      </c>
      <c r="J105" s="9" t="s">
        <v>9</v>
      </c>
    </row>
    <row r="106" customFormat="false" ht="15" hidden="false" customHeight="false" outlineLevel="0" collapsed="false">
      <c r="A106" s="7" t="n">
        <v>105</v>
      </c>
      <c r="B106" s="7" t="s">
        <v>11</v>
      </c>
      <c r="C106" s="7" t="n">
        <v>46</v>
      </c>
      <c r="D106" s="7" t="s">
        <v>212</v>
      </c>
      <c r="E106" s="7" t="s">
        <v>172</v>
      </c>
      <c r="F106" s="10" t="s">
        <v>6</v>
      </c>
      <c r="G106" s="7" t="s">
        <v>54</v>
      </c>
      <c r="H106" s="7" t="s">
        <v>205</v>
      </c>
      <c r="I106" s="7" t="s">
        <v>206</v>
      </c>
      <c r="J106" s="9" t="s">
        <v>9</v>
      </c>
    </row>
    <row r="107" customFormat="false" ht="23.85" hidden="false" customHeight="false" outlineLevel="0" collapsed="false">
      <c r="A107" s="7" t="n">
        <v>106</v>
      </c>
      <c r="B107" s="7" t="s">
        <v>11</v>
      </c>
      <c r="C107" s="7" t="n">
        <v>46</v>
      </c>
      <c r="D107" s="7" t="s">
        <v>212</v>
      </c>
      <c r="E107" s="7" t="s">
        <v>189</v>
      </c>
      <c r="F107" s="10" t="s">
        <v>6</v>
      </c>
      <c r="G107" s="7" t="s">
        <v>181</v>
      </c>
      <c r="H107" s="7" t="s">
        <v>190</v>
      </c>
      <c r="I107" s="7" t="s">
        <v>191</v>
      </c>
      <c r="J107" s="9" t="s">
        <v>9</v>
      </c>
    </row>
    <row r="108" customFormat="false" ht="23.85" hidden="false" customHeight="false" outlineLevel="0" collapsed="false">
      <c r="A108" s="7" t="n">
        <v>107</v>
      </c>
      <c r="B108" s="7" t="s">
        <v>11</v>
      </c>
      <c r="C108" s="7"/>
      <c r="D108" s="7" t="s">
        <v>213</v>
      </c>
      <c r="E108" s="7" t="s">
        <v>176</v>
      </c>
      <c r="F108" s="11" t="s">
        <v>7</v>
      </c>
      <c r="G108" s="7" t="s">
        <v>49</v>
      </c>
      <c r="H108" s="7" t="s">
        <v>214</v>
      </c>
      <c r="I108" s="7" t="s">
        <v>215</v>
      </c>
      <c r="J108" s="9" t="s">
        <v>9</v>
      </c>
    </row>
    <row r="109" customFormat="false" ht="15" hidden="false" customHeight="false" outlineLevel="0" collapsed="false">
      <c r="A109" s="7" t="n">
        <v>108</v>
      </c>
      <c r="B109" s="7" t="s">
        <v>11</v>
      </c>
      <c r="C109" s="7"/>
      <c r="D109" s="7" t="s">
        <v>39</v>
      </c>
      <c r="E109" s="7" t="s">
        <v>216</v>
      </c>
      <c r="F109" s="11" t="s">
        <v>7</v>
      </c>
      <c r="G109" s="7" t="s">
        <v>130</v>
      </c>
      <c r="H109" s="7" t="s">
        <v>217</v>
      </c>
      <c r="I109" s="7" t="s">
        <v>218</v>
      </c>
      <c r="J109" s="9" t="s">
        <v>9</v>
      </c>
    </row>
    <row r="110" customFormat="false" ht="15" hidden="false" customHeight="false" outlineLevel="0" collapsed="false">
      <c r="A110" s="7" t="n">
        <v>109</v>
      </c>
      <c r="B110" s="7" t="s">
        <v>11</v>
      </c>
      <c r="C110" s="7" t="n">
        <v>3</v>
      </c>
      <c r="D110" s="7" t="s">
        <v>219</v>
      </c>
      <c r="E110" s="7" t="s">
        <v>143</v>
      </c>
      <c r="F110" s="11" t="s">
        <v>7</v>
      </c>
      <c r="G110" s="7" t="s">
        <v>130</v>
      </c>
      <c r="H110" s="7" t="s">
        <v>220</v>
      </c>
      <c r="I110" s="7" t="s">
        <v>221</v>
      </c>
      <c r="J110" s="9" t="s">
        <v>9</v>
      </c>
    </row>
    <row r="111" customFormat="false" ht="15" hidden="false" customHeight="false" outlineLevel="0" collapsed="false">
      <c r="A111" s="7" t="n">
        <v>110</v>
      </c>
      <c r="B111" s="7" t="s">
        <v>11</v>
      </c>
      <c r="C111" s="7" t="n">
        <v>4</v>
      </c>
      <c r="D111" s="7" t="s">
        <v>222</v>
      </c>
      <c r="E111" s="7" t="s">
        <v>172</v>
      </c>
      <c r="F111" s="11" t="s">
        <v>7</v>
      </c>
      <c r="G111" s="7" t="s">
        <v>130</v>
      </c>
      <c r="H111" s="7" t="s">
        <v>223</v>
      </c>
      <c r="I111" s="7" t="s">
        <v>224</v>
      </c>
      <c r="J111" s="9" t="s">
        <v>9</v>
      </c>
    </row>
    <row r="112" customFormat="false" ht="15" hidden="false" customHeight="false" outlineLevel="0" collapsed="false">
      <c r="A112" s="7" t="n">
        <v>111</v>
      </c>
      <c r="B112" s="7" t="s">
        <v>11</v>
      </c>
      <c r="C112" s="7" t="n">
        <v>5</v>
      </c>
      <c r="D112" s="7" t="s">
        <v>225</v>
      </c>
      <c r="E112" s="7" t="s">
        <v>172</v>
      </c>
      <c r="F112" s="11" t="s">
        <v>7</v>
      </c>
      <c r="G112" s="7" t="s">
        <v>130</v>
      </c>
      <c r="H112" s="7" t="s">
        <v>223</v>
      </c>
      <c r="I112" s="7" t="s">
        <v>224</v>
      </c>
      <c r="J112" s="9" t="s">
        <v>9</v>
      </c>
    </row>
    <row r="113" customFormat="false" ht="15" hidden="false" customHeight="false" outlineLevel="0" collapsed="false">
      <c r="A113" s="7" t="n">
        <v>112</v>
      </c>
      <c r="B113" s="7" t="s">
        <v>11</v>
      </c>
      <c r="C113" s="7" t="n">
        <v>6</v>
      </c>
      <c r="D113" s="7" t="s">
        <v>226</v>
      </c>
      <c r="E113" s="7" t="s">
        <v>172</v>
      </c>
      <c r="F113" s="11" t="s">
        <v>7</v>
      </c>
      <c r="G113" s="7" t="s">
        <v>130</v>
      </c>
      <c r="H113" s="7" t="s">
        <v>223</v>
      </c>
      <c r="I113" s="7" t="s">
        <v>224</v>
      </c>
      <c r="J113" s="9" t="s">
        <v>9</v>
      </c>
    </row>
    <row r="114" customFormat="false" ht="15" hidden="false" customHeight="false" outlineLevel="0" collapsed="false">
      <c r="A114" s="7" t="n">
        <v>113</v>
      </c>
      <c r="B114" s="7" t="s">
        <v>11</v>
      </c>
      <c r="C114" s="7" t="n">
        <v>7</v>
      </c>
      <c r="D114" s="7" t="s">
        <v>227</v>
      </c>
      <c r="E114" s="7" t="s">
        <v>143</v>
      </c>
      <c r="F114" s="11" t="s">
        <v>7</v>
      </c>
      <c r="G114" s="7" t="s">
        <v>130</v>
      </c>
      <c r="H114" s="7" t="s">
        <v>220</v>
      </c>
      <c r="I114" s="7" t="s">
        <v>221</v>
      </c>
      <c r="J114" s="9" t="s">
        <v>9</v>
      </c>
    </row>
    <row r="115" customFormat="false" ht="15" hidden="false" customHeight="false" outlineLevel="0" collapsed="false">
      <c r="A115" s="7" t="n">
        <v>114</v>
      </c>
      <c r="B115" s="7" t="s">
        <v>11</v>
      </c>
      <c r="C115" s="7" t="n">
        <v>8</v>
      </c>
      <c r="D115" s="7" t="s">
        <v>228</v>
      </c>
      <c r="E115" s="7" t="s">
        <v>143</v>
      </c>
      <c r="F115" s="11" t="s">
        <v>7</v>
      </c>
      <c r="G115" s="7" t="s">
        <v>130</v>
      </c>
      <c r="H115" s="7" t="s">
        <v>220</v>
      </c>
      <c r="I115" s="7" t="s">
        <v>221</v>
      </c>
      <c r="J115" s="9" t="s">
        <v>9</v>
      </c>
    </row>
    <row r="116" customFormat="false" ht="15" hidden="false" customHeight="false" outlineLevel="0" collapsed="false">
      <c r="A116" s="7" t="n">
        <v>115</v>
      </c>
      <c r="B116" s="7" t="s">
        <v>11</v>
      </c>
      <c r="C116" s="7" t="n">
        <v>12</v>
      </c>
      <c r="D116" s="7" t="s">
        <v>229</v>
      </c>
      <c r="E116" s="7" t="s">
        <v>230</v>
      </c>
      <c r="F116" s="11" t="s">
        <v>7</v>
      </c>
      <c r="G116" s="7" t="s">
        <v>94</v>
      </c>
      <c r="H116" s="7" t="s">
        <v>231</v>
      </c>
      <c r="I116" s="7" t="s">
        <v>232</v>
      </c>
      <c r="J116" s="9" t="s">
        <v>9</v>
      </c>
    </row>
    <row r="117" customFormat="false" ht="15" hidden="false" customHeight="false" outlineLevel="0" collapsed="false">
      <c r="A117" s="7" t="n">
        <v>116</v>
      </c>
      <c r="B117" s="7" t="s">
        <v>11</v>
      </c>
      <c r="C117" s="7" t="n">
        <v>31</v>
      </c>
      <c r="D117" s="7" t="s">
        <v>233</v>
      </c>
      <c r="E117" s="7" t="s">
        <v>230</v>
      </c>
      <c r="F117" s="11" t="s">
        <v>7</v>
      </c>
      <c r="G117" s="7" t="s">
        <v>94</v>
      </c>
      <c r="H117" s="7" t="s">
        <v>234</v>
      </c>
      <c r="I117" s="7" t="s">
        <v>232</v>
      </c>
      <c r="J117" s="9" t="s">
        <v>9</v>
      </c>
    </row>
    <row r="118" customFormat="false" ht="15" hidden="false" customHeight="false" outlineLevel="0" collapsed="false">
      <c r="A118" s="7" t="n">
        <v>117</v>
      </c>
      <c r="B118" s="7" t="s">
        <v>11</v>
      </c>
      <c r="C118" s="7" t="n">
        <v>35</v>
      </c>
      <c r="D118" s="7" t="s">
        <v>235</v>
      </c>
      <c r="E118" s="7" t="s">
        <v>230</v>
      </c>
      <c r="F118" s="11" t="s">
        <v>7</v>
      </c>
      <c r="G118" s="7" t="s">
        <v>94</v>
      </c>
      <c r="H118" s="7" t="s">
        <v>231</v>
      </c>
      <c r="I118" s="7" t="s">
        <v>232</v>
      </c>
      <c r="J118" s="9" t="s">
        <v>9</v>
      </c>
    </row>
    <row r="119" customFormat="false" ht="23.85" hidden="false" customHeight="false" outlineLevel="0" collapsed="false">
      <c r="A119" s="7" t="n">
        <v>118</v>
      </c>
      <c r="B119" s="7" t="s">
        <v>12</v>
      </c>
      <c r="C119" s="7"/>
      <c r="D119" s="7" t="s">
        <v>39</v>
      </c>
      <c r="E119" s="7" t="s">
        <v>40</v>
      </c>
      <c r="F119" s="8" t="s">
        <v>5</v>
      </c>
      <c r="G119" s="7" t="s">
        <v>41</v>
      </c>
      <c r="H119" s="7" t="s">
        <v>42</v>
      </c>
      <c r="I119" s="7" t="s">
        <v>43</v>
      </c>
      <c r="J119" s="9" t="s">
        <v>9</v>
      </c>
    </row>
    <row r="120" customFormat="false" ht="23.85" hidden="false" customHeight="false" outlineLevel="0" collapsed="false">
      <c r="A120" s="7" t="n">
        <v>119</v>
      </c>
      <c r="B120" s="7" t="s">
        <v>12</v>
      </c>
      <c r="C120" s="7" t="n">
        <v>18</v>
      </c>
      <c r="D120" s="7" t="s">
        <v>236</v>
      </c>
      <c r="E120" s="7" t="s">
        <v>237</v>
      </c>
      <c r="F120" s="10" t="s">
        <v>6</v>
      </c>
      <c r="G120" s="7" t="s">
        <v>130</v>
      </c>
      <c r="H120" s="7" t="s">
        <v>238</v>
      </c>
      <c r="I120" s="7" t="s">
        <v>239</v>
      </c>
      <c r="J120" s="9" t="s">
        <v>9</v>
      </c>
    </row>
    <row r="121" customFormat="false" ht="23.85" hidden="false" customHeight="false" outlineLevel="0" collapsed="false">
      <c r="A121" s="7" t="n">
        <v>120</v>
      </c>
      <c r="B121" s="7" t="s">
        <v>12</v>
      </c>
      <c r="C121" s="7" t="n">
        <v>19</v>
      </c>
      <c r="D121" s="7" t="s">
        <v>240</v>
      </c>
      <c r="E121" s="7" t="s">
        <v>237</v>
      </c>
      <c r="F121" s="10" t="s">
        <v>6</v>
      </c>
      <c r="G121" s="7" t="s">
        <v>130</v>
      </c>
      <c r="H121" s="7" t="s">
        <v>238</v>
      </c>
      <c r="I121" s="7" t="s">
        <v>239</v>
      </c>
      <c r="J121" s="9" t="s">
        <v>9</v>
      </c>
    </row>
    <row r="122" customFormat="false" ht="23.85" hidden="false" customHeight="false" outlineLevel="0" collapsed="false">
      <c r="A122" s="7" t="n">
        <v>121</v>
      </c>
      <c r="B122" s="7" t="s">
        <v>12</v>
      </c>
      <c r="C122" s="7" t="n">
        <v>20</v>
      </c>
      <c r="D122" s="7" t="s">
        <v>241</v>
      </c>
      <c r="E122" s="7" t="s">
        <v>237</v>
      </c>
      <c r="F122" s="10" t="s">
        <v>6</v>
      </c>
      <c r="G122" s="7" t="s">
        <v>130</v>
      </c>
      <c r="H122" s="7" t="s">
        <v>238</v>
      </c>
      <c r="I122" s="7" t="s">
        <v>239</v>
      </c>
      <c r="J122" s="9" t="s">
        <v>9</v>
      </c>
    </row>
    <row r="123" customFormat="false" ht="23.85" hidden="false" customHeight="false" outlineLevel="0" collapsed="false">
      <c r="A123" s="7" t="n">
        <v>122</v>
      </c>
      <c r="B123" s="7" t="s">
        <v>12</v>
      </c>
      <c r="C123" s="7" t="n">
        <v>21</v>
      </c>
      <c r="D123" s="7" t="s">
        <v>242</v>
      </c>
      <c r="E123" s="7" t="s">
        <v>237</v>
      </c>
      <c r="F123" s="10" t="s">
        <v>6</v>
      </c>
      <c r="G123" s="7" t="s">
        <v>130</v>
      </c>
      <c r="H123" s="7" t="s">
        <v>238</v>
      </c>
      <c r="I123" s="7" t="s">
        <v>239</v>
      </c>
      <c r="J123" s="9" t="s">
        <v>9</v>
      </c>
    </row>
    <row r="124" customFormat="false" ht="23.85" hidden="false" customHeight="false" outlineLevel="0" collapsed="false">
      <c r="A124" s="7" t="n">
        <v>123</v>
      </c>
      <c r="B124" s="7" t="s">
        <v>12</v>
      </c>
      <c r="C124" s="7" t="n">
        <v>22</v>
      </c>
      <c r="D124" s="7" t="s">
        <v>243</v>
      </c>
      <c r="E124" s="7" t="s">
        <v>237</v>
      </c>
      <c r="F124" s="10" t="s">
        <v>6</v>
      </c>
      <c r="G124" s="7" t="s">
        <v>130</v>
      </c>
      <c r="H124" s="7" t="s">
        <v>238</v>
      </c>
      <c r="I124" s="7" t="s">
        <v>239</v>
      </c>
      <c r="J124" s="9" t="s">
        <v>9</v>
      </c>
    </row>
    <row r="125" customFormat="false" ht="23.85" hidden="false" customHeight="false" outlineLevel="0" collapsed="false">
      <c r="A125" s="7" t="n">
        <v>124</v>
      </c>
      <c r="B125" s="7" t="s">
        <v>12</v>
      </c>
      <c r="C125" s="7" t="n">
        <v>62</v>
      </c>
      <c r="D125" s="7" t="s">
        <v>244</v>
      </c>
      <c r="E125" s="7" t="s">
        <v>237</v>
      </c>
      <c r="F125" s="10" t="s">
        <v>6</v>
      </c>
      <c r="G125" s="7" t="s">
        <v>130</v>
      </c>
      <c r="H125" s="7" t="s">
        <v>238</v>
      </c>
      <c r="I125" s="7" t="s">
        <v>239</v>
      </c>
      <c r="J125" s="9" t="s">
        <v>9</v>
      </c>
    </row>
    <row r="126" customFormat="false" ht="23.85" hidden="false" customHeight="false" outlineLevel="0" collapsed="false">
      <c r="A126" s="7" t="n">
        <v>125</v>
      </c>
      <c r="B126" s="7" t="s">
        <v>12</v>
      </c>
      <c r="C126" s="7" t="n">
        <v>63</v>
      </c>
      <c r="D126" s="7" t="s">
        <v>245</v>
      </c>
      <c r="E126" s="7" t="s">
        <v>237</v>
      </c>
      <c r="F126" s="10" t="s">
        <v>6</v>
      </c>
      <c r="G126" s="7" t="s">
        <v>130</v>
      </c>
      <c r="H126" s="7" t="s">
        <v>238</v>
      </c>
      <c r="I126" s="7" t="s">
        <v>239</v>
      </c>
      <c r="J126" s="9" t="s">
        <v>9</v>
      </c>
    </row>
    <row r="127" customFormat="false" ht="23.85" hidden="false" customHeight="false" outlineLevel="0" collapsed="false">
      <c r="A127" s="7" t="n">
        <v>126</v>
      </c>
      <c r="B127" s="7" t="s">
        <v>12</v>
      </c>
      <c r="C127" s="7" t="n">
        <v>64</v>
      </c>
      <c r="D127" s="7" t="s">
        <v>246</v>
      </c>
      <c r="E127" s="7" t="s">
        <v>237</v>
      </c>
      <c r="F127" s="10" t="s">
        <v>6</v>
      </c>
      <c r="G127" s="7" t="s">
        <v>130</v>
      </c>
      <c r="H127" s="7" t="s">
        <v>238</v>
      </c>
      <c r="I127" s="7" t="s">
        <v>239</v>
      </c>
      <c r="J127" s="9" t="s">
        <v>9</v>
      </c>
    </row>
    <row r="128" customFormat="false" ht="23.85" hidden="false" customHeight="false" outlineLevel="0" collapsed="false">
      <c r="A128" s="7" t="n">
        <v>127</v>
      </c>
      <c r="B128" s="7" t="s">
        <v>12</v>
      </c>
      <c r="C128" s="7" t="n">
        <v>71</v>
      </c>
      <c r="D128" s="7" t="s">
        <v>244</v>
      </c>
      <c r="E128" s="7" t="s">
        <v>237</v>
      </c>
      <c r="F128" s="10" t="s">
        <v>6</v>
      </c>
      <c r="G128" s="7" t="s">
        <v>130</v>
      </c>
      <c r="H128" s="7" t="s">
        <v>238</v>
      </c>
      <c r="I128" s="7" t="s">
        <v>239</v>
      </c>
      <c r="J128" s="9" t="s">
        <v>9</v>
      </c>
    </row>
    <row r="129" customFormat="false" ht="23.85" hidden="false" customHeight="false" outlineLevel="0" collapsed="false">
      <c r="A129" s="7" t="n">
        <v>128</v>
      </c>
      <c r="B129" s="7" t="s">
        <v>12</v>
      </c>
      <c r="C129" s="7" t="n">
        <v>72</v>
      </c>
      <c r="D129" s="7" t="s">
        <v>245</v>
      </c>
      <c r="E129" s="7" t="s">
        <v>237</v>
      </c>
      <c r="F129" s="10" t="s">
        <v>6</v>
      </c>
      <c r="G129" s="7" t="s">
        <v>130</v>
      </c>
      <c r="H129" s="7" t="s">
        <v>238</v>
      </c>
      <c r="I129" s="7" t="s">
        <v>239</v>
      </c>
      <c r="J129" s="9" t="s">
        <v>9</v>
      </c>
    </row>
    <row r="130" customFormat="false" ht="23.85" hidden="false" customHeight="false" outlineLevel="0" collapsed="false">
      <c r="A130" s="7" t="n">
        <v>129</v>
      </c>
      <c r="B130" s="7" t="s">
        <v>12</v>
      </c>
      <c r="C130" s="7" t="n">
        <v>73</v>
      </c>
      <c r="D130" s="7" t="s">
        <v>246</v>
      </c>
      <c r="E130" s="7" t="s">
        <v>237</v>
      </c>
      <c r="F130" s="10" t="s">
        <v>6</v>
      </c>
      <c r="G130" s="7" t="s">
        <v>130</v>
      </c>
      <c r="H130" s="7" t="s">
        <v>238</v>
      </c>
      <c r="I130" s="7" t="s">
        <v>239</v>
      </c>
      <c r="J130" s="9" t="s">
        <v>9</v>
      </c>
    </row>
    <row r="131" customFormat="false" ht="15" hidden="false" customHeight="false" outlineLevel="0" collapsed="false">
      <c r="A131" s="7" t="n">
        <v>130</v>
      </c>
      <c r="B131" s="7" t="s">
        <v>12</v>
      </c>
      <c r="C131" s="7"/>
      <c r="D131" s="7" t="s">
        <v>247</v>
      </c>
      <c r="E131" s="7" t="s">
        <v>248</v>
      </c>
      <c r="F131" s="11" t="s">
        <v>7</v>
      </c>
      <c r="G131" s="7" t="s">
        <v>54</v>
      </c>
      <c r="H131" s="7" t="s">
        <v>249</v>
      </c>
      <c r="I131" s="7" t="s">
        <v>250</v>
      </c>
      <c r="J131" s="9" t="s">
        <v>9</v>
      </c>
    </row>
    <row r="132" customFormat="false" ht="23.85" hidden="false" customHeight="false" outlineLevel="0" collapsed="false">
      <c r="A132" s="7" t="n">
        <v>131</v>
      </c>
      <c r="B132" s="7" t="s">
        <v>12</v>
      </c>
      <c r="C132" s="7"/>
      <c r="D132" s="7" t="s">
        <v>251</v>
      </c>
      <c r="E132" s="7" t="s">
        <v>252</v>
      </c>
      <c r="F132" s="11" t="s">
        <v>7</v>
      </c>
      <c r="G132" s="7" t="s">
        <v>49</v>
      </c>
      <c r="H132" s="7" t="s">
        <v>253</v>
      </c>
      <c r="I132" s="7" t="s">
        <v>254</v>
      </c>
      <c r="J132" s="9" t="s">
        <v>9</v>
      </c>
    </row>
    <row r="133" customFormat="false" ht="15" hidden="false" customHeight="false" outlineLevel="0" collapsed="false">
      <c r="A133" s="7" t="n">
        <v>132</v>
      </c>
      <c r="B133" s="7" t="s">
        <v>12</v>
      </c>
      <c r="C133" s="7" t="n">
        <v>18</v>
      </c>
      <c r="D133" s="7" t="s">
        <v>236</v>
      </c>
      <c r="E133" s="7" t="s">
        <v>255</v>
      </c>
      <c r="F133" s="11" t="s">
        <v>7</v>
      </c>
      <c r="G133" s="7" t="s">
        <v>54</v>
      </c>
      <c r="H133" s="7" t="s">
        <v>256</v>
      </c>
      <c r="I133" s="7" t="s">
        <v>257</v>
      </c>
      <c r="J133" s="9" t="s">
        <v>9</v>
      </c>
    </row>
    <row r="134" customFormat="false" ht="15" hidden="false" customHeight="false" outlineLevel="0" collapsed="false">
      <c r="A134" s="7" t="n">
        <v>133</v>
      </c>
      <c r="B134" s="7" t="s">
        <v>12</v>
      </c>
      <c r="C134" s="7" t="n">
        <v>19</v>
      </c>
      <c r="D134" s="7" t="s">
        <v>240</v>
      </c>
      <c r="E134" s="7" t="s">
        <v>255</v>
      </c>
      <c r="F134" s="11" t="s">
        <v>7</v>
      </c>
      <c r="G134" s="7" t="s">
        <v>54</v>
      </c>
      <c r="H134" s="7" t="s">
        <v>256</v>
      </c>
      <c r="I134" s="7" t="s">
        <v>257</v>
      </c>
      <c r="J134" s="9" t="s">
        <v>9</v>
      </c>
    </row>
    <row r="135" customFormat="false" ht="15" hidden="false" customHeight="false" outlineLevel="0" collapsed="false">
      <c r="A135" s="7" t="n">
        <v>134</v>
      </c>
      <c r="B135" s="7" t="s">
        <v>12</v>
      </c>
      <c r="C135" s="7" t="n">
        <v>20</v>
      </c>
      <c r="D135" s="7" t="s">
        <v>241</v>
      </c>
      <c r="E135" s="7" t="s">
        <v>255</v>
      </c>
      <c r="F135" s="11" t="s">
        <v>7</v>
      </c>
      <c r="G135" s="7" t="s">
        <v>54</v>
      </c>
      <c r="H135" s="7" t="s">
        <v>256</v>
      </c>
      <c r="I135" s="7" t="s">
        <v>257</v>
      </c>
      <c r="J135" s="9" t="s">
        <v>9</v>
      </c>
    </row>
    <row r="136" customFormat="false" ht="15" hidden="false" customHeight="false" outlineLevel="0" collapsed="false">
      <c r="A136" s="7" t="n">
        <v>135</v>
      </c>
      <c r="B136" s="7" t="s">
        <v>12</v>
      </c>
      <c r="C136" s="7" t="n">
        <v>21</v>
      </c>
      <c r="D136" s="7" t="s">
        <v>242</v>
      </c>
      <c r="E136" s="7" t="s">
        <v>255</v>
      </c>
      <c r="F136" s="11" t="s">
        <v>7</v>
      </c>
      <c r="G136" s="7" t="s">
        <v>54</v>
      </c>
      <c r="H136" s="7" t="s">
        <v>256</v>
      </c>
      <c r="I136" s="7" t="s">
        <v>257</v>
      </c>
      <c r="J136" s="9" t="s">
        <v>9</v>
      </c>
    </row>
    <row r="137" customFormat="false" ht="15" hidden="false" customHeight="false" outlineLevel="0" collapsed="false">
      <c r="A137" s="7" t="n">
        <v>136</v>
      </c>
      <c r="B137" s="7" t="s">
        <v>12</v>
      </c>
      <c r="C137" s="7" t="n">
        <v>22</v>
      </c>
      <c r="D137" s="7" t="s">
        <v>243</v>
      </c>
      <c r="E137" s="7" t="s">
        <v>255</v>
      </c>
      <c r="F137" s="11" t="s">
        <v>7</v>
      </c>
      <c r="G137" s="7" t="s">
        <v>54</v>
      </c>
      <c r="H137" s="7" t="s">
        <v>256</v>
      </c>
      <c r="I137" s="7" t="s">
        <v>257</v>
      </c>
      <c r="J137" s="9" t="s">
        <v>9</v>
      </c>
    </row>
    <row r="138" customFormat="false" ht="15" hidden="false" customHeight="false" outlineLevel="0" collapsed="false">
      <c r="A138" s="7" t="n">
        <v>137</v>
      </c>
      <c r="B138" s="7" t="s">
        <v>12</v>
      </c>
      <c r="C138" s="7" t="n">
        <v>23</v>
      </c>
      <c r="D138" s="7" t="s">
        <v>258</v>
      </c>
      <c r="E138" s="7" t="s">
        <v>255</v>
      </c>
      <c r="F138" s="11" t="s">
        <v>7</v>
      </c>
      <c r="G138" s="7" t="s">
        <v>54</v>
      </c>
      <c r="H138" s="7" t="s">
        <v>256</v>
      </c>
      <c r="I138" s="7" t="s">
        <v>257</v>
      </c>
      <c r="J138" s="9" t="s">
        <v>9</v>
      </c>
    </row>
    <row r="139" customFormat="false" ht="15" hidden="false" customHeight="false" outlineLevel="0" collapsed="false">
      <c r="A139" s="7" t="n">
        <v>138</v>
      </c>
      <c r="B139" s="7" t="s">
        <v>12</v>
      </c>
      <c r="C139" s="7" t="n">
        <v>24</v>
      </c>
      <c r="D139" s="7" t="s">
        <v>259</v>
      </c>
      <c r="E139" s="7" t="s">
        <v>255</v>
      </c>
      <c r="F139" s="11" t="s">
        <v>7</v>
      </c>
      <c r="G139" s="7" t="s">
        <v>54</v>
      </c>
      <c r="H139" s="7" t="s">
        <v>256</v>
      </c>
      <c r="I139" s="7" t="s">
        <v>257</v>
      </c>
      <c r="J139" s="9" t="s">
        <v>9</v>
      </c>
    </row>
    <row r="140" customFormat="false" ht="15" hidden="false" customHeight="false" outlineLevel="0" collapsed="false">
      <c r="A140" s="7" t="n">
        <v>139</v>
      </c>
      <c r="B140" s="7" t="s">
        <v>12</v>
      </c>
      <c r="C140" s="7" t="n">
        <v>25</v>
      </c>
      <c r="D140" s="7" t="s">
        <v>260</v>
      </c>
      <c r="E140" s="7" t="s">
        <v>255</v>
      </c>
      <c r="F140" s="11" t="s">
        <v>7</v>
      </c>
      <c r="G140" s="7" t="s">
        <v>54</v>
      </c>
      <c r="H140" s="7" t="s">
        <v>256</v>
      </c>
      <c r="I140" s="7" t="s">
        <v>257</v>
      </c>
      <c r="J140" s="9" t="s">
        <v>9</v>
      </c>
    </row>
    <row r="141" customFormat="false" ht="15" hidden="false" customHeight="false" outlineLevel="0" collapsed="false">
      <c r="A141" s="7" t="n">
        <v>140</v>
      </c>
      <c r="B141" s="7" t="s">
        <v>12</v>
      </c>
      <c r="C141" s="7" t="n">
        <v>26</v>
      </c>
      <c r="D141" s="7" t="s">
        <v>261</v>
      </c>
      <c r="E141" s="7" t="s">
        <v>255</v>
      </c>
      <c r="F141" s="11" t="s">
        <v>7</v>
      </c>
      <c r="G141" s="7" t="s">
        <v>54</v>
      </c>
      <c r="H141" s="7" t="s">
        <v>256</v>
      </c>
      <c r="I141" s="7" t="s">
        <v>257</v>
      </c>
      <c r="J141" s="9" t="s">
        <v>9</v>
      </c>
    </row>
    <row r="142" customFormat="false" ht="15" hidden="false" customHeight="false" outlineLevel="0" collapsed="false">
      <c r="A142" s="7" t="n">
        <v>141</v>
      </c>
      <c r="B142" s="7" t="s">
        <v>12</v>
      </c>
      <c r="C142" s="7" t="n">
        <v>27</v>
      </c>
      <c r="D142" s="7" t="s">
        <v>262</v>
      </c>
      <c r="E142" s="7" t="s">
        <v>255</v>
      </c>
      <c r="F142" s="11" t="s">
        <v>7</v>
      </c>
      <c r="G142" s="7" t="s">
        <v>54</v>
      </c>
      <c r="H142" s="7" t="s">
        <v>256</v>
      </c>
      <c r="I142" s="7" t="s">
        <v>257</v>
      </c>
      <c r="J142" s="9" t="s">
        <v>9</v>
      </c>
    </row>
    <row r="143" customFormat="false" ht="15" hidden="false" customHeight="false" outlineLevel="0" collapsed="false">
      <c r="A143" s="7" t="n">
        <v>142</v>
      </c>
      <c r="B143" s="7" t="s">
        <v>12</v>
      </c>
      <c r="C143" s="7" t="n">
        <v>28</v>
      </c>
      <c r="D143" s="7" t="s">
        <v>263</v>
      </c>
      <c r="E143" s="7" t="s">
        <v>255</v>
      </c>
      <c r="F143" s="11" t="s">
        <v>7</v>
      </c>
      <c r="G143" s="7" t="s">
        <v>54</v>
      </c>
      <c r="H143" s="7" t="s">
        <v>256</v>
      </c>
      <c r="I143" s="7" t="s">
        <v>257</v>
      </c>
      <c r="J143" s="9" t="s">
        <v>9</v>
      </c>
    </row>
    <row r="144" customFormat="false" ht="15" hidden="false" customHeight="false" outlineLevel="0" collapsed="false">
      <c r="A144" s="7" t="n">
        <v>143</v>
      </c>
      <c r="B144" s="7" t="s">
        <v>12</v>
      </c>
      <c r="C144" s="7" t="n">
        <v>29</v>
      </c>
      <c r="D144" s="7" t="s">
        <v>264</v>
      </c>
      <c r="E144" s="7" t="s">
        <v>255</v>
      </c>
      <c r="F144" s="11" t="s">
        <v>7</v>
      </c>
      <c r="G144" s="7" t="s">
        <v>54</v>
      </c>
      <c r="H144" s="7" t="s">
        <v>256</v>
      </c>
      <c r="I144" s="7" t="s">
        <v>257</v>
      </c>
      <c r="J144" s="9" t="s">
        <v>9</v>
      </c>
    </row>
    <row r="145" customFormat="false" ht="23.85" hidden="false" customHeight="false" outlineLevel="0" collapsed="false">
      <c r="A145" s="7" t="n">
        <v>144</v>
      </c>
      <c r="B145" s="7" t="s">
        <v>12</v>
      </c>
      <c r="C145" s="7" t="n">
        <v>34</v>
      </c>
      <c r="D145" s="7"/>
      <c r="E145" s="7" t="s">
        <v>237</v>
      </c>
      <c r="F145" s="11" t="s">
        <v>7</v>
      </c>
      <c r="G145" s="7" t="s">
        <v>130</v>
      </c>
      <c r="H145" s="7" t="s">
        <v>265</v>
      </c>
      <c r="I145" s="7" t="s">
        <v>266</v>
      </c>
      <c r="J145" s="9" t="s">
        <v>9</v>
      </c>
    </row>
    <row r="146" customFormat="false" ht="23.85" hidden="false" customHeight="false" outlineLevel="0" collapsed="false">
      <c r="A146" s="7" t="n">
        <v>145</v>
      </c>
      <c r="B146" s="7" t="s">
        <v>12</v>
      </c>
      <c r="C146" s="7" t="n">
        <v>36</v>
      </c>
      <c r="D146" s="7"/>
      <c r="E146" s="7" t="s">
        <v>237</v>
      </c>
      <c r="F146" s="11" t="s">
        <v>7</v>
      </c>
      <c r="G146" s="7" t="s">
        <v>130</v>
      </c>
      <c r="H146" s="7" t="s">
        <v>265</v>
      </c>
      <c r="I146" s="7" t="s">
        <v>266</v>
      </c>
      <c r="J146" s="9" t="s">
        <v>9</v>
      </c>
    </row>
    <row r="147" customFormat="false" ht="23.85" hidden="false" customHeight="false" outlineLevel="0" collapsed="false">
      <c r="A147" s="7" t="n">
        <v>146</v>
      </c>
      <c r="B147" s="7" t="s">
        <v>12</v>
      </c>
      <c r="C147" s="7" t="n">
        <v>38</v>
      </c>
      <c r="D147" s="7"/>
      <c r="E147" s="7" t="s">
        <v>237</v>
      </c>
      <c r="F147" s="11" t="s">
        <v>7</v>
      </c>
      <c r="G147" s="7" t="s">
        <v>130</v>
      </c>
      <c r="H147" s="7" t="s">
        <v>265</v>
      </c>
      <c r="I147" s="7" t="s">
        <v>266</v>
      </c>
      <c r="J147" s="9" t="s">
        <v>9</v>
      </c>
    </row>
    <row r="148" customFormat="false" ht="23.85" hidden="false" customHeight="false" outlineLevel="0" collapsed="false">
      <c r="A148" s="7" t="n">
        <v>147</v>
      </c>
      <c r="B148" s="7" t="s">
        <v>12</v>
      </c>
      <c r="C148" s="7" t="n">
        <v>40</v>
      </c>
      <c r="D148" s="7"/>
      <c r="E148" s="7" t="s">
        <v>237</v>
      </c>
      <c r="F148" s="11" t="s">
        <v>7</v>
      </c>
      <c r="G148" s="7" t="s">
        <v>130</v>
      </c>
      <c r="H148" s="7" t="s">
        <v>267</v>
      </c>
      <c r="I148" s="7" t="s">
        <v>266</v>
      </c>
      <c r="J148" s="9" t="s">
        <v>9</v>
      </c>
    </row>
    <row r="149" customFormat="false" ht="15" hidden="false" customHeight="false" outlineLevel="0" collapsed="false">
      <c r="A149" s="7" t="n">
        <v>148</v>
      </c>
      <c r="B149" s="7" t="s">
        <v>12</v>
      </c>
      <c r="C149" s="7" t="n">
        <v>66</v>
      </c>
      <c r="D149" s="7" t="s">
        <v>268</v>
      </c>
      <c r="E149" s="7" t="s">
        <v>255</v>
      </c>
      <c r="F149" s="11" t="s">
        <v>7</v>
      </c>
      <c r="G149" s="7" t="s">
        <v>130</v>
      </c>
      <c r="H149" s="7" t="s">
        <v>269</v>
      </c>
      <c r="I149" s="7" t="s">
        <v>270</v>
      </c>
      <c r="J149" s="9" t="s">
        <v>9</v>
      </c>
    </row>
    <row r="150" customFormat="false" ht="15" hidden="false" customHeight="false" outlineLevel="0" collapsed="false">
      <c r="A150" s="7" t="n">
        <v>149</v>
      </c>
      <c r="B150" s="7" t="s">
        <v>12</v>
      </c>
      <c r="C150" s="7" t="n">
        <v>105</v>
      </c>
      <c r="D150" s="7" t="s">
        <v>271</v>
      </c>
      <c r="E150" s="7" t="s">
        <v>255</v>
      </c>
      <c r="F150" s="11" t="s">
        <v>7</v>
      </c>
      <c r="G150" s="7" t="s">
        <v>130</v>
      </c>
      <c r="H150" s="7" t="s">
        <v>272</v>
      </c>
      <c r="I150" s="7" t="s">
        <v>273</v>
      </c>
      <c r="J150" s="9" t="s">
        <v>9</v>
      </c>
    </row>
    <row r="151" customFormat="false" ht="15" hidden="false" customHeight="false" outlineLevel="0" collapsed="false">
      <c r="A151" s="7" t="n">
        <v>150</v>
      </c>
      <c r="B151" s="7" t="s">
        <v>12</v>
      </c>
      <c r="C151" s="7" t="n">
        <v>106</v>
      </c>
      <c r="D151" s="7" t="s">
        <v>274</v>
      </c>
      <c r="E151" s="7" t="s">
        <v>275</v>
      </c>
      <c r="F151" s="11" t="s">
        <v>7</v>
      </c>
      <c r="G151" s="7" t="s">
        <v>130</v>
      </c>
      <c r="H151" s="7" t="s">
        <v>276</v>
      </c>
      <c r="I151" s="7" t="s">
        <v>277</v>
      </c>
      <c r="J151" s="9" t="s">
        <v>9</v>
      </c>
    </row>
    <row r="152" customFormat="false" ht="15" hidden="false" customHeight="false" outlineLevel="0" collapsed="false">
      <c r="A152" s="7" t="n">
        <v>151</v>
      </c>
      <c r="B152" s="7" t="s">
        <v>12</v>
      </c>
      <c r="C152" s="7" t="n">
        <v>107</v>
      </c>
      <c r="D152" s="7" t="s">
        <v>278</v>
      </c>
      <c r="E152" s="7" t="s">
        <v>275</v>
      </c>
      <c r="F152" s="11" t="s">
        <v>7</v>
      </c>
      <c r="G152" s="7" t="s">
        <v>130</v>
      </c>
      <c r="H152" s="7" t="s">
        <v>279</v>
      </c>
      <c r="I152" s="7" t="s">
        <v>277</v>
      </c>
      <c r="J152" s="9" t="s">
        <v>9</v>
      </c>
    </row>
    <row r="153" customFormat="false" ht="15" hidden="false" customHeight="false" outlineLevel="0" collapsed="false">
      <c r="A153" s="7" t="n">
        <v>152</v>
      </c>
      <c r="B153" s="7" t="s">
        <v>12</v>
      </c>
      <c r="C153" s="7" t="n">
        <v>108</v>
      </c>
      <c r="D153" s="7" t="s">
        <v>280</v>
      </c>
      <c r="E153" s="7" t="s">
        <v>255</v>
      </c>
      <c r="F153" s="11" t="s">
        <v>7</v>
      </c>
      <c r="G153" s="7" t="s">
        <v>130</v>
      </c>
      <c r="H153" s="7" t="s">
        <v>272</v>
      </c>
      <c r="I153" s="7" t="s">
        <v>273</v>
      </c>
      <c r="J153" s="9" t="s">
        <v>9</v>
      </c>
    </row>
    <row r="154" customFormat="false" ht="15" hidden="false" customHeight="false" outlineLevel="0" collapsed="false">
      <c r="A154" s="7" t="n">
        <v>153</v>
      </c>
      <c r="B154" s="7" t="s">
        <v>12</v>
      </c>
      <c r="C154" s="7" t="n">
        <v>110</v>
      </c>
      <c r="D154" s="7" t="s">
        <v>271</v>
      </c>
      <c r="E154" s="7" t="s">
        <v>255</v>
      </c>
      <c r="F154" s="11" t="s">
        <v>7</v>
      </c>
      <c r="G154" s="7" t="s">
        <v>130</v>
      </c>
      <c r="H154" s="7" t="s">
        <v>272</v>
      </c>
      <c r="I154" s="7" t="s">
        <v>273</v>
      </c>
      <c r="J154" s="9" t="s">
        <v>9</v>
      </c>
    </row>
    <row r="155" customFormat="false" ht="15" hidden="false" customHeight="false" outlineLevel="0" collapsed="false">
      <c r="A155" s="7" t="n">
        <v>154</v>
      </c>
      <c r="B155" s="7" t="s">
        <v>12</v>
      </c>
      <c r="C155" s="7" t="n">
        <v>111</v>
      </c>
      <c r="D155" s="7" t="s">
        <v>281</v>
      </c>
      <c r="E155" s="7" t="s">
        <v>255</v>
      </c>
      <c r="F155" s="11" t="s">
        <v>7</v>
      </c>
      <c r="G155" s="7" t="s">
        <v>130</v>
      </c>
      <c r="H155" s="7" t="s">
        <v>272</v>
      </c>
      <c r="I155" s="7" t="s">
        <v>273</v>
      </c>
      <c r="J155" s="9" t="s">
        <v>9</v>
      </c>
    </row>
    <row r="156" customFormat="false" ht="15" hidden="false" customHeight="false" outlineLevel="0" collapsed="false">
      <c r="A156" s="7" t="n">
        <v>155</v>
      </c>
      <c r="B156" s="7" t="s">
        <v>12</v>
      </c>
      <c r="C156" s="7" t="n">
        <v>112</v>
      </c>
      <c r="D156" s="7" t="s">
        <v>282</v>
      </c>
      <c r="E156" s="7" t="s">
        <v>255</v>
      </c>
      <c r="F156" s="11" t="s">
        <v>7</v>
      </c>
      <c r="G156" s="7" t="s">
        <v>130</v>
      </c>
      <c r="H156" s="7" t="s">
        <v>272</v>
      </c>
      <c r="I156" s="7" t="s">
        <v>273</v>
      </c>
      <c r="J156" s="9" t="s">
        <v>9</v>
      </c>
    </row>
    <row r="157" customFormat="false" ht="15" hidden="false" customHeight="false" outlineLevel="0" collapsed="false">
      <c r="A157" s="7" t="n">
        <v>156</v>
      </c>
      <c r="B157" s="7" t="s">
        <v>12</v>
      </c>
      <c r="C157" s="7" t="n">
        <v>113</v>
      </c>
      <c r="D157" s="7" t="s">
        <v>283</v>
      </c>
      <c r="E157" s="7" t="s">
        <v>275</v>
      </c>
      <c r="F157" s="11" t="s">
        <v>7</v>
      </c>
      <c r="G157" s="7" t="s">
        <v>130</v>
      </c>
      <c r="H157" s="7" t="s">
        <v>284</v>
      </c>
      <c r="I157" s="7" t="s">
        <v>277</v>
      </c>
      <c r="J157" s="9" t="s">
        <v>9</v>
      </c>
    </row>
    <row r="158" customFormat="false" ht="15" hidden="false" customHeight="false" outlineLevel="0" collapsed="false">
      <c r="A158" s="7" t="n">
        <v>157</v>
      </c>
      <c r="B158" s="7" t="s">
        <v>12</v>
      </c>
      <c r="C158" s="7" t="n">
        <v>114</v>
      </c>
      <c r="D158" s="7" t="s">
        <v>285</v>
      </c>
      <c r="E158" s="7" t="s">
        <v>275</v>
      </c>
      <c r="F158" s="11" t="s">
        <v>7</v>
      </c>
      <c r="G158" s="7" t="s">
        <v>130</v>
      </c>
      <c r="H158" s="7" t="s">
        <v>286</v>
      </c>
      <c r="I158" s="7" t="s">
        <v>277</v>
      </c>
      <c r="J158" s="9" t="s">
        <v>9</v>
      </c>
    </row>
    <row r="159" customFormat="false" ht="15" hidden="false" customHeight="false" outlineLevel="0" collapsed="false">
      <c r="A159" s="7" t="n">
        <v>158</v>
      </c>
      <c r="B159" s="7" t="s">
        <v>12</v>
      </c>
      <c r="C159" s="7" t="n">
        <v>115</v>
      </c>
      <c r="D159" s="7"/>
      <c r="E159" s="7" t="s">
        <v>275</v>
      </c>
      <c r="F159" s="11" t="s">
        <v>7</v>
      </c>
      <c r="G159" s="7" t="s">
        <v>130</v>
      </c>
      <c r="H159" s="7" t="s">
        <v>287</v>
      </c>
      <c r="I159" s="7" t="s">
        <v>277</v>
      </c>
      <c r="J159" s="9" t="s">
        <v>9</v>
      </c>
    </row>
    <row r="160" customFormat="false" ht="15" hidden="false" customHeight="false" outlineLevel="0" collapsed="false">
      <c r="A160" s="7" t="n">
        <v>159</v>
      </c>
      <c r="B160" s="7" t="s">
        <v>12</v>
      </c>
      <c r="C160" s="7" t="n">
        <v>116</v>
      </c>
      <c r="D160" s="7"/>
      <c r="E160" s="7" t="s">
        <v>275</v>
      </c>
      <c r="F160" s="11" t="s">
        <v>7</v>
      </c>
      <c r="G160" s="7" t="s">
        <v>130</v>
      </c>
      <c r="H160" s="7" t="s">
        <v>287</v>
      </c>
      <c r="I160" s="7" t="s">
        <v>277</v>
      </c>
      <c r="J160" s="9" t="s">
        <v>9</v>
      </c>
    </row>
    <row r="161" customFormat="false" ht="15" hidden="false" customHeight="false" outlineLevel="0" collapsed="false">
      <c r="A161" s="7" t="n">
        <v>160</v>
      </c>
      <c r="B161" s="7" t="s">
        <v>12</v>
      </c>
      <c r="C161" s="7" t="n">
        <v>117</v>
      </c>
      <c r="D161" s="7"/>
      <c r="E161" s="7" t="s">
        <v>275</v>
      </c>
      <c r="F161" s="11" t="s">
        <v>7</v>
      </c>
      <c r="G161" s="7" t="s">
        <v>130</v>
      </c>
      <c r="H161" s="7" t="s">
        <v>287</v>
      </c>
      <c r="I161" s="7" t="s">
        <v>277</v>
      </c>
      <c r="J161" s="9" t="s">
        <v>9</v>
      </c>
    </row>
    <row r="162" customFormat="false" ht="15" hidden="false" customHeight="false" outlineLevel="0" collapsed="false">
      <c r="A162" s="7" t="n">
        <v>161</v>
      </c>
      <c r="B162" s="7" t="s">
        <v>12</v>
      </c>
      <c r="C162" s="7" t="n">
        <v>118</v>
      </c>
      <c r="D162" s="7"/>
      <c r="E162" s="7" t="s">
        <v>275</v>
      </c>
      <c r="F162" s="11" t="s">
        <v>7</v>
      </c>
      <c r="G162" s="7" t="s">
        <v>130</v>
      </c>
      <c r="H162" s="7" t="s">
        <v>287</v>
      </c>
      <c r="I162" s="7" t="s">
        <v>277</v>
      </c>
      <c r="J162" s="9" t="s">
        <v>9</v>
      </c>
    </row>
    <row r="163" customFormat="false" ht="23.85" hidden="false" customHeight="false" outlineLevel="0" collapsed="false">
      <c r="A163" s="7" t="n">
        <v>162</v>
      </c>
      <c r="B163" s="7" t="s">
        <v>13</v>
      </c>
      <c r="C163" s="7"/>
      <c r="D163" s="7" t="s">
        <v>39</v>
      </c>
      <c r="E163" s="7" t="s">
        <v>40</v>
      </c>
      <c r="F163" s="8" t="s">
        <v>5</v>
      </c>
      <c r="G163" s="7" t="s">
        <v>41</v>
      </c>
      <c r="H163" s="7" t="s">
        <v>42</v>
      </c>
      <c r="I163" s="7" t="s">
        <v>43</v>
      </c>
      <c r="J163" s="9" t="s">
        <v>9</v>
      </c>
    </row>
    <row r="164" customFormat="false" ht="23.85" hidden="false" customHeight="false" outlineLevel="0" collapsed="false">
      <c r="A164" s="7" t="n">
        <v>163</v>
      </c>
      <c r="B164" s="7" t="s">
        <v>13</v>
      </c>
      <c r="C164" s="7"/>
      <c r="D164" s="7" t="s">
        <v>39</v>
      </c>
      <c r="E164" s="7" t="s">
        <v>44</v>
      </c>
      <c r="F164" s="8" t="s">
        <v>5</v>
      </c>
      <c r="G164" s="7" t="s">
        <v>41</v>
      </c>
      <c r="H164" s="7" t="s">
        <v>45</v>
      </c>
      <c r="I164" s="7" t="s">
        <v>46</v>
      </c>
      <c r="J164" s="9" t="s">
        <v>9</v>
      </c>
    </row>
    <row r="165" customFormat="false" ht="35.05" hidden="false" customHeight="false" outlineLevel="0" collapsed="false">
      <c r="A165" s="7" t="n">
        <v>164</v>
      </c>
      <c r="B165" s="7" t="s">
        <v>13</v>
      </c>
      <c r="C165" s="7"/>
      <c r="D165" s="7" t="s">
        <v>39</v>
      </c>
      <c r="E165" s="7" t="s">
        <v>288</v>
      </c>
      <c r="F165" s="8" t="s">
        <v>5</v>
      </c>
      <c r="G165" s="7" t="s">
        <v>94</v>
      </c>
      <c r="H165" s="7" t="s">
        <v>289</v>
      </c>
      <c r="I165" s="7" t="s">
        <v>290</v>
      </c>
      <c r="J165" s="9" t="s">
        <v>9</v>
      </c>
    </row>
    <row r="166" customFormat="false" ht="23.85" hidden="false" customHeight="false" outlineLevel="0" collapsed="false">
      <c r="A166" s="7" t="n">
        <v>165</v>
      </c>
      <c r="B166" s="7" t="s">
        <v>13</v>
      </c>
      <c r="C166" s="7" t="n">
        <v>13</v>
      </c>
      <c r="D166" s="7" t="s">
        <v>291</v>
      </c>
      <c r="E166" s="7" t="s">
        <v>58</v>
      </c>
      <c r="F166" s="8" t="s">
        <v>5</v>
      </c>
      <c r="G166" s="7" t="s">
        <v>58</v>
      </c>
      <c r="H166" s="7" t="s">
        <v>292</v>
      </c>
      <c r="I166" s="7" t="s">
        <v>293</v>
      </c>
      <c r="J166" s="9" t="s">
        <v>9</v>
      </c>
    </row>
    <row r="167" customFormat="false" ht="23.85" hidden="false" customHeight="false" outlineLevel="0" collapsed="false">
      <c r="A167" s="7" t="n">
        <v>166</v>
      </c>
      <c r="B167" s="7" t="s">
        <v>13</v>
      </c>
      <c r="C167" s="7" t="n">
        <v>14</v>
      </c>
      <c r="D167" s="7" t="s">
        <v>294</v>
      </c>
      <c r="E167" s="7" t="s">
        <v>58</v>
      </c>
      <c r="F167" s="8" t="s">
        <v>5</v>
      </c>
      <c r="G167" s="7" t="s">
        <v>58</v>
      </c>
      <c r="H167" s="7" t="s">
        <v>292</v>
      </c>
      <c r="I167" s="7" t="s">
        <v>295</v>
      </c>
      <c r="J167" s="9" t="s">
        <v>9</v>
      </c>
    </row>
    <row r="168" customFormat="false" ht="23.85" hidden="false" customHeight="false" outlineLevel="0" collapsed="false">
      <c r="A168" s="7" t="n">
        <v>167</v>
      </c>
      <c r="B168" s="7" t="s">
        <v>13</v>
      </c>
      <c r="C168" s="7" t="n">
        <v>15</v>
      </c>
      <c r="D168" s="7" t="s">
        <v>296</v>
      </c>
      <c r="E168" s="7" t="s">
        <v>58</v>
      </c>
      <c r="F168" s="8" t="s">
        <v>5</v>
      </c>
      <c r="G168" s="7" t="s">
        <v>58</v>
      </c>
      <c r="H168" s="7" t="s">
        <v>292</v>
      </c>
      <c r="I168" s="7" t="s">
        <v>297</v>
      </c>
      <c r="J168" s="9" t="s">
        <v>9</v>
      </c>
    </row>
    <row r="169" customFormat="false" ht="23.85" hidden="false" customHeight="false" outlineLevel="0" collapsed="false">
      <c r="A169" s="7" t="n">
        <v>168</v>
      </c>
      <c r="B169" s="7" t="s">
        <v>13</v>
      </c>
      <c r="C169" s="7" t="n">
        <v>16</v>
      </c>
      <c r="D169" s="7" t="s">
        <v>298</v>
      </c>
      <c r="E169" s="7" t="s">
        <v>58</v>
      </c>
      <c r="F169" s="8" t="s">
        <v>5</v>
      </c>
      <c r="G169" s="7" t="s">
        <v>58</v>
      </c>
      <c r="H169" s="7" t="s">
        <v>292</v>
      </c>
      <c r="I169" s="7" t="s">
        <v>297</v>
      </c>
      <c r="J169" s="9" t="s">
        <v>9</v>
      </c>
    </row>
    <row r="170" customFormat="false" ht="23.85" hidden="false" customHeight="false" outlineLevel="0" collapsed="false">
      <c r="A170" s="7" t="n">
        <v>169</v>
      </c>
      <c r="B170" s="7" t="s">
        <v>13</v>
      </c>
      <c r="C170" s="7" t="n">
        <v>17</v>
      </c>
      <c r="D170" s="7" t="s">
        <v>299</v>
      </c>
      <c r="E170" s="7" t="s">
        <v>58</v>
      </c>
      <c r="F170" s="8" t="s">
        <v>5</v>
      </c>
      <c r="G170" s="7" t="s">
        <v>58</v>
      </c>
      <c r="H170" s="7" t="s">
        <v>300</v>
      </c>
      <c r="I170" s="7" t="s">
        <v>301</v>
      </c>
      <c r="J170" s="9" t="s">
        <v>9</v>
      </c>
    </row>
    <row r="171" customFormat="false" ht="23.85" hidden="false" customHeight="false" outlineLevel="0" collapsed="false">
      <c r="A171" s="7" t="n">
        <v>170</v>
      </c>
      <c r="B171" s="7" t="s">
        <v>13</v>
      </c>
      <c r="C171" s="7" t="n">
        <v>18</v>
      </c>
      <c r="D171" s="7" t="s">
        <v>302</v>
      </c>
      <c r="E171" s="7" t="s">
        <v>58</v>
      </c>
      <c r="F171" s="8" t="s">
        <v>5</v>
      </c>
      <c r="G171" s="7" t="s">
        <v>58</v>
      </c>
      <c r="H171" s="7" t="s">
        <v>300</v>
      </c>
      <c r="I171" s="7" t="s">
        <v>301</v>
      </c>
      <c r="J171" s="9" t="s">
        <v>9</v>
      </c>
    </row>
    <row r="172" customFormat="false" ht="23.85" hidden="false" customHeight="false" outlineLevel="0" collapsed="false">
      <c r="A172" s="7" t="n">
        <v>171</v>
      </c>
      <c r="B172" s="7" t="s">
        <v>13</v>
      </c>
      <c r="C172" s="7" t="n">
        <v>19</v>
      </c>
      <c r="D172" s="7" t="s">
        <v>303</v>
      </c>
      <c r="E172" s="7" t="s">
        <v>58</v>
      </c>
      <c r="F172" s="8" t="s">
        <v>5</v>
      </c>
      <c r="G172" s="7" t="s">
        <v>58</v>
      </c>
      <c r="H172" s="7" t="s">
        <v>300</v>
      </c>
      <c r="I172" s="7" t="s">
        <v>304</v>
      </c>
      <c r="J172" s="9" t="s">
        <v>9</v>
      </c>
    </row>
    <row r="173" customFormat="false" ht="23.85" hidden="false" customHeight="false" outlineLevel="0" collapsed="false">
      <c r="A173" s="7" t="n">
        <v>172</v>
      </c>
      <c r="B173" s="7" t="s">
        <v>13</v>
      </c>
      <c r="C173" s="7" t="n">
        <v>20</v>
      </c>
      <c r="D173" s="7" t="s">
        <v>305</v>
      </c>
      <c r="E173" s="7" t="s">
        <v>58</v>
      </c>
      <c r="F173" s="8" t="s">
        <v>5</v>
      </c>
      <c r="G173" s="7" t="s">
        <v>58</v>
      </c>
      <c r="H173" s="7" t="s">
        <v>300</v>
      </c>
      <c r="I173" s="7" t="s">
        <v>304</v>
      </c>
      <c r="J173" s="9" t="s">
        <v>9</v>
      </c>
    </row>
    <row r="174" customFormat="false" ht="23.85" hidden="false" customHeight="false" outlineLevel="0" collapsed="false">
      <c r="A174" s="7" t="n">
        <v>173</v>
      </c>
      <c r="B174" s="7" t="s">
        <v>13</v>
      </c>
      <c r="C174" s="7" t="n">
        <v>21</v>
      </c>
      <c r="D174" s="7" t="s">
        <v>306</v>
      </c>
      <c r="E174" s="7" t="s">
        <v>58</v>
      </c>
      <c r="F174" s="8" t="s">
        <v>5</v>
      </c>
      <c r="G174" s="7" t="s">
        <v>58</v>
      </c>
      <c r="H174" s="7" t="s">
        <v>292</v>
      </c>
      <c r="I174" s="7" t="s">
        <v>307</v>
      </c>
      <c r="J174" s="9" t="s">
        <v>9</v>
      </c>
    </row>
    <row r="175" customFormat="false" ht="23.85" hidden="false" customHeight="false" outlineLevel="0" collapsed="false">
      <c r="A175" s="7" t="n">
        <v>174</v>
      </c>
      <c r="B175" s="7" t="s">
        <v>13</v>
      </c>
      <c r="C175" s="7" t="n">
        <v>22</v>
      </c>
      <c r="D175" s="7" t="s">
        <v>308</v>
      </c>
      <c r="E175" s="7" t="s">
        <v>58</v>
      </c>
      <c r="F175" s="8" t="s">
        <v>5</v>
      </c>
      <c r="G175" s="7" t="s">
        <v>58</v>
      </c>
      <c r="H175" s="7" t="s">
        <v>300</v>
      </c>
      <c r="I175" s="7" t="s">
        <v>309</v>
      </c>
      <c r="J175" s="9" t="s">
        <v>9</v>
      </c>
    </row>
    <row r="176" customFormat="false" ht="23.85" hidden="false" customHeight="false" outlineLevel="0" collapsed="false">
      <c r="A176" s="7" t="n">
        <v>175</v>
      </c>
      <c r="B176" s="7" t="s">
        <v>13</v>
      </c>
      <c r="C176" s="7" t="n">
        <v>55</v>
      </c>
      <c r="D176" s="7" t="s">
        <v>310</v>
      </c>
      <c r="E176" s="7" t="s">
        <v>58</v>
      </c>
      <c r="F176" s="8" t="s">
        <v>5</v>
      </c>
      <c r="G176" s="7" t="s">
        <v>58</v>
      </c>
      <c r="H176" s="7" t="s">
        <v>311</v>
      </c>
      <c r="I176" s="7" t="s">
        <v>312</v>
      </c>
      <c r="J176" s="9" t="s">
        <v>9</v>
      </c>
    </row>
    <row r="177" customFormat="false" ht="23.85" hidden="false" customHeight="false" outlineLevel="0" collapsed="false">
      <c r="A177" s="7" t="n">
        <v>176</v>
      </c>
      <c r="B177" s="7" t="s">
        <v>13</v>
      </c>
      <c r="C177" s="7" t="n">
        <v>56</v>
      </c>
      <c r="D177" s="7" t="s">
        <v>313</v>
      </c>
      <c r="E177" s="7" t="s">
        <v>58</v>
      </c>
      <c r="F177" s="8" t="s">
        <v>5</v>
      </c>
      <c r="G177" s="7" t="s">
        <v>58</v>
      </c>
      <c r="H177" s="7" t="s">
        <v>311</v>
      </c>
      <c r="I177" s="7" t="s">
        <v>312</v>
      </c>
      <c r="J177" s="9" t="s">
        <v>9</v>
      </c>
    </row>
    <row r="178" customFormat="false" ht="23.85" hidden="false" customHeight="false" outlineLevel="0" collapsed="false">
      <c r="A178" s="7" t="n">
        <v>177</v>
      </c>
      <c r="B178" s="7" t="s">
        <v>13</v>
      </c>
      <c r="C178" s="7" t="n">
        <v>57</v>
      </c>
      <c r="D178" s="7" t="s">
        <v>314</v>
      </c>
      <c r="E178" s="7" t="s">
        <v>58</v>
      </c>
      <c r="F178" s="8" t="s">
        <v>5</v>
      </c>
      <c r="G178" s="7" t="s">
        <v>58</v>
      </c>
      <c r="H178" s="7" t="s">
        <v>311</v>
      </c>
      <c r="I178" s="7" t="s">
        <v>312</v>
      </c>
      <c r="J178" s="9" t="s">
        <v>9</v>
      </c>
    </row>
    <row r="179" customFormat="false" ht="23.85" hidden="false" customHeight="false" outlineLevel="0" collapsed="false">
      <c r="A179" s="7" t="n">
        <v>178</v>
      </c>
      <c r="B179" s="7" t="s">
        <v>13</v>
      </c>
      <c r="C179" s="7" t="n">
        <v>58</v>
      </c>
      <c r="D179" s="7" t="s">
        <v>315</v>
      </c>
      <c r="E179" s="7" t="s">
        <v>58</v>
      </c>
      <c r="F179" s="8" t="s">
        <v>5</v>
      </c>
      <c r="G179" s="7" t="s">
        <v>58</v>
      </c>
      <c r="H179" s="7" t="s">
        <v>311</v>
      </c>
      <c r="I179" s="7" t="s">
        <v>312</v>
      </c>
      <c r="J179" s="9" t="s">
        <v>9</v>
      </c>
    </row>
    <row r="180" customFormat="false" ht="23.85" hidden="false" customHeight="false" outlineLevel="0" collapsed="false">
      <c r="A180" s="7" t="n">
        <v>179</v>
      </c>
      <c r="B180" s="7" t="s">
        <v>13</v>
      </c>
      <c r="C180" s="7" t="n">
        <v>59</v>
      </c>
      <c r="D180" s="7" t="s">
        <v>316</v>
      </c>
      <c r="E180" s="7" t="s">
        <v>58</v>
      </c>
      <c r="F180" s="8" t="s">
        <v>5</v>
      </c>
      <c r="G180" s="7" t="s">
        <v>58</v>
      </c>
      <c r="H180" s="7" t="s">
        <v>311</v>
      </c>
      <c r="I180" s="7" t="s">
        <v>312</v>
      </c>
      <c r="J180" s="9" t="s">
        <v>9</v>
      </c>
    </row>
    <row r="181" customFormat="false" ht="15" hidden="false" customHeight="false" outlineLevel="0" collapsed="false">
      <c r="A181" s="7" t="n">
        <v>180</v>
      </c>
      <c r="B181" s="7" t="s">
        <v>13</v>
      </c>
      <c r="C181" s="7" t="n">
        <v>60</v>
      </c>
      <c r="D181" s="7" t="s">
        <v>317</v>
      </c>
      <c r="E181" s="7" t="s">
        <v>58</v>
      </c>
      <c r="F181" s="8" t="s">
        <v>5</v>
      </c>
      <c r="G181" s="7" t="s">
        <v>58</v>
      </c>
      <c r="H181" s="7" t="s">
        <v>311</v>
      </c>
      <c r="I181" s="7" t="s">
        <v>318</v>
      </c>
      <c r="J181" s="9" t="s">
        <v>9</v>
      </c>
    </row>
    <row r="182" customFormat="false" ht="15" hidden="false" customHeight="false" outlineLevel="0" collapsed="false">
      <c r="A182" s="7" t="n">
        <v>181</v>
      </c>
      <c r="B182" s="7" t="s">
        <v>13</v>
      </c>
      <c r="C182" s="7" t="n">
        <v>61</v>
      </c>
      <c r="D182" s="7" t="s">
        <v>319</v>
      </c>
      <c r="E182" s="7" t="s">
        <v>58</v>
      </c>
      <c r="F182" s="8" t="s">
        <v>5</v>
      </c>
      <c r="G182" s="7" t="s">
        <v>58</v>
      </c>
      <c r="H182" s="7" t="s">
        <v>311</v>
      </c>
      <c r="I182" s="7" t="s">
        <v>318</v>
      </c>
      <c r="J182" s="9" t="s">
        <v>9</v>
      </c>
    </row>
    <row r="183" customFormat="false" ht="15" hidden="false" customHeight="false" outlineLevel="0" collapsed="false">
      <c r="A183" s="7" t="n">
        <v>182</v>
      </c>
      <c r="B183" s="7" t="s">
        <v>13</v>
      </c>
      <c r="C183" s="7" t="n">
        <v>62</v>
      </c>
      <c r="D183" s="7" t="s">
        <v>320</v>
      </c>
      <c r="E183" s="7" t="s">
        <v>58</v>
      </c>
      <c r="F183" s="8" t="s">
        <v>5</v>
      </c>
      <c r="G183" s="7" t="s">
        <v>58</v>
      </c>
      <c r="H183" s="7" t="s">
        <v>311</v>
      </c>
      <c r="I183" s="7" t="s">
        <v>318</v>
      </c>
      <c r="J183" s="9" t="s">
        <v>9</v>
      </c>
    </row>
    <row r="184" customFormat="false" ht="23.85" hidden="false" customHeight="false" outlineLevel="0" collapsed="false">
      <c r="A184" s="7" t="n">
        <v>183</v>
      </c>
      <c r="B184" s="7" t="s">
        <v>13</v>
      </c>
      <c r="C184" s="7" t="n">
        <v>64</v>
      </c>
      <c r="D184" s="7" t="s">
        <v>321</v>
      </c>
      <c r="E184" s="7" t="s">
        <v>58</v>
      </c>
      <c r="F184" s="8" t="s">
        <v>5</v>
      </c>
      <c r="G184" s="7" t="s">
        <v>58</v>
      </c>
      <c r="H184" s="7" t="s">
        <v>311</v>
      </c>
      <c r="I184" s="7" t="s">
        <v>322</v>
      </c>
      <c r="J184" s="9" t="s">
        <v>9</v>
      </c>
    </row>
    <row r="185" customFormat="false" ht="23.85" hidden="false" customHeight="false" outlineLevel="0" collapsed="false">
      <c r="A185" s="7" t="n">
        <v>184</v>
      </c>
      <c r="B185" s="7" t="s">
        <v>13</v>
      </c>
      <c r="C185" s="7" t="n">
        <v>65</v>
      </c>
      <c r="D185" s="7" t="s">
        <v>323</v>
      </c>
      <c r="E185" s="7" t="s">
        <v>58</v>
      </c>
      <c r="F185" s="8" t="s">
        <v>5</v>
      </c>
      <c r="G185" s="7" t="s">
        <v>58</v>
      </c>
      <c r="H185" s="7" t="s">
        <v>311</v>
      </c>
      <c r="I185" s="7" t="s">
        <v>322</v>
      </c>
      <c r="J185" s="9" t="s">
        <v>9</v>
      </c>
    </row>
    <row r="186" customFormat="false" ht="23.85" hidden="false" customHeight="false" outlineLevel="0" collapsed="false">
      <c r="A186" s="7" t="n">
        <v>185</v>
      </c>
      <c r="B186" s="7" t="s">
        <v>13</v>
      </c>
      <c r="C186" s="7" t="n">
        <v>66</v>
      </c>
      <c r="D186" s="7" t="s">
        <v>324</v>
      </c>
      <c r="E186" s="7" t="s">
        <v>58</v>
      </c>
      <c r="F186" s="8" t="s">
        <v>5</v>
      </c>
      <c r="G186" s="7" t="s">
        <v>58</v>
      </c>
      <c r="H186" s="7" t="s">
        <v>311</v>
      </c>
      <c r="I186" s="7" t="s">
        <v>322</v>
      </c>
      <c r="J186" s="9" t="s">
        <v>9</v>
      </c>
    </row>
    <row r="187" customFormat="false" ht="23.85" hidden="false" customHeight="false" outlineLevel="0" collapsed="false">
      <c r="A187" s="7" t="n">
        <v>186</v>
      </c>
      <c r="B187" s="7" t="s">
        <v>13</v>
      </c>
      <c r="C187" s="7" t="n">
        <v>67</v>
      </c>
      <c r="D187" s="7" t="s">
        <v>325</v>
      </c>
      <c r="E187" s="7" t="s">
        <v>58</v>
      </c>
      <c r="F187" s="8" t="s">
        <v>5</v>
      </c>
      <c r="G187" s="7" t="s">
        <v>58</v>
      </c>
      <c r="H187" s="7" t="s">
        <v>311</v>
      </c>
      <c r="I187" s="7" t="s">
        <v>322</v>
      </c>
      <c r="J187" s="9" t="s">
        <v>9</v>
      </c>
    </row>
    <row r="188" customFormat="false" ht="23.85" hidden="false" customHeight="false" outlineLevel="0" collapsed="false">
      <c r="A188" s="7" t="n">
        <v>187</v>
      </c>
      <c r="B188" s="7" t="s">
        <v>13</v>
      </c>
      <c r="C188" s="7" t="n">
        <v>68</v>
      </c>
      <c r="D188" s="7" t="s">
        <v>326</v>
      </c>
      <c r="E188" s="7" t="s">
        <v>58</v>
      </c>
      <c r="F188" s="8" t="s">
        <v>5</v>
      </c>
      <c r="G188" s="7" t="s">
        <v>58</v>
      </c>
      <c r="H188" s="7" t="s">
        <v>311</v>
      </c>
      <c r="I188" s="7" t="s">
        <v>322</v>
      </c>
      <c r="J188" s="9" t="s">
        <v>9</v>
      </c>
    </row>
    <row r="189" customFormat="false" ht="15" hidden="false" customHeight="false" outlineLevel="0" collapsed="false">
      <c r="A189" s="7" t="n">
        <v>188</v>
      </c>
      <c r="B189" s="7" t="s">
        <v>13</v>
      </c>
      <c r="C189" s="7" t="n">
        <v>93</v>
      </c>
      <c r="D189" s="7" t="s">
        <v>327</v>
      </c>
      <c r="E189" s="7" t="s">
        <v>58</v>
      </c>
      <c r="F189" s="8" t="s">
        <v>5</v>
      </c>
      <c r="G189" s="7" t="s">
        <v>58</v>
      </c>
      <c r="H189" s="7" t="s">
        <v>311</v>
      </c>
      <c r="I189" s="7" t="s">
        <v>328</v>
      </c>
      <c r="J189" s="9" t="s">
        <v>9</v>
      </c>
    </row>
    <row r="190" customFormat="false" ht="15" hidden="false" customHeight="false" outlineLevel="0" collapsed="false">
      <c r="A190" s="7" t="n">
        <v>189</v>
      </c>
      <c r="B190" s="7" t="s">
        <v>13</v>
      </c>
      <c r="C190" s="7" t="n">
        <v>94</v>
      </c>
      <c r="D190" s="7" t="s">
        <v>329</v>
      </c>
      <c r="E190" s="7" t="s">
        <v>58</v>
      </c>
      <c r="F190" s="8" t="s">
        <v>5</v>
      </c>
      <c r="G190" s="7" t="s">
        <v>58</v>
      </c>
      <c r="H190" s="7" t="s">
        <v>311</v>
      </c>
      <c r="I190" s="7" t="s">
        <v>328</v>
      </c>
      <c r="J190" s="9" t="s">
        <v>9</v>
      </c>
    </row>
    <row r="191" customFormat="false" ht="15" hidden="false" customHeight="false" outlineLevel="0" collapsed="false">
      <c r="A191" s="7" t="n">
        <v>190</v>
      </c>
      <c r="B191" s="7" t="s">
        <v>13</v>
      </c>
      <c r="C191" s="7" t="n">
        <v>95</v>
      </c>
      <c r="D191" s="7" t="s">
        <v>330</v>
      </c>
      <c r="E191" s="7" t="s">
        <v>58</v>
      </c>
      <c r="F191" s="8" t="s">
        <v>5</v>
      </c>
      <c r="G191" s="7" t="s">
        <v>58</v>
      </c>
      <c r="H191" s="7" t="s">
        <v>311</v>
      </c>
      <c r="I191" s="7" t="s">
        <v>328</v>
      </c>
      <c r="J191" s="9" t="s">
        <v>9</v>
      </c>
    </row>
    <row r="192" customFormat="false" ht="15" hidden="false" customHeight="false" outlineLevel="0" collapsed="false">
      <c r="A192" s="7" t="n">
        <v>191</v>
      </c>
      <c r="B192" s="7" t="s">
        <v>13</v>
      </c>
      <c r="C192" s="7" t="n">
        <v>96</v>
      </c>
      <c r="D192" s="7" t="s">
        <v>331</v>
      </c>
      <c r="E192" s="7" t="s">
        <v>58</v>
      </c>
      <c r="F192" s="8" t="s">
        <v>5</v>
      </c>
      <c r="G192" s="7" t="s">
        <v>58</v>
      </c>
      <c r="H192" s="7" t="s">
        <v>311</v>
      </c>
      <c r="I192" s="7" t="s">
        <v>328</v>
      </c>
      <c r="J192" s="9" t="s">
        <v>9</v>
      </c>
    </row>
    <row r="193" customFormat="false" ht="15" hidden="false" customHeight="false" outlineLevel="0" collapsed="false">
      <c r="A193" s="7" t="n">
        <v>192</v>
      </c>
      <c r="B193" s="7" t="s">
        <v>13</v>
      </c>
      <c r="C193" s="7" t="n">
        <v>97</v>
      </c>
      <c r="D193" s="7" t="s">
        <v>332</v>
      </c>
      <c r="E193" s="7" t="s">
        <v>58</v>
      </c>
      <c r="F193" s="8" t="s">
        <v>5</v>
      </c>
      <c r="G193" s="7" t="s">
        <v>58</v>
      </c>
      <c r="H193" s="7" t="s">
        <v>311</v>
      </c>
      <c r="I193" s="7" t="s">
        <v>328</v>
      </c>
      <c r="J193" s="9" t="s">
        <v>9</v>
      </c>
    </row>
    <row r="194" customFormat="false" ht="15" hidden="false" customHeight="false" outlineLevel="0" collapsed="false">
      <c r="A194" s="7" t="n">
        <v>193</v>
      </c>
      <c r="B194" s="7" t="s">
        <v>13</v>
      </c>
      <c r="C194" s="7" t="n">
        <v>98</v>
      </c>
      <c r="D194" s="7" t="s">
        <v>333</v>
      </c>
      <c r="E194" s="7" t="s">
        <v>58</v>
      </c>
      <c r="F194" s="8" t="s">
        <v>5</v>
      </c>
      <c r="G194" s="7" t="s">
        <v>58</v>
      </c>
      <c r="H194" s="7" t="s">
        <v>311</v>
      </c>
      <c r="I194" s="7" t="s">
        <v>328</v>
      </c>
      <c r="J194" s="9" t="s">
        <v>9</v>
      </c>
    </row>
    <row r="195" customFormat="false" ht="15" hidden="false" customHeight="false" outlineLevel="0" collapsed="false">
      <c r="A195" s="7" t="n">
        <v>194</v>
      </c>
      <c r="B195" s="7" t="s">
        <v>13</v>
      </c>
      <c r="C195" s="7" t="n">
        <v>99</v>
      </c>
      <c r="D195" s="7" t="s">
        <v>334</v>
      </c>
      <c r="E195" s="7" t="s">
        <v>58</v>
      </c>
      <c r="F195" s="8" t="s">
        <v>5</v>
      </c>
      <c r="G195" s="7" t="s">
        <v>58</v>
      </c>
      <c r="H195" s="7" t="s">
        <v>311</v>
      </c>
      <c r="I195" s="7" t="s">
        <v>328</v>
      </c>
      <c r="J195" s="9" t="s">
        <v>9</v>
      </c>
    </row>
    <row r="196" customFormat="false" ht="23.85" hidden="false" customHeight="false" outlineLevel="0" collapsed="false">
      <c r="A196" s="7" t="n">
        <v>195</v>
      </c>
      <c r="B196" s="7" t="s">
        <v>13</v>
      </c>
      <c r="C196" s="7" t="n">
        <v>102</v>
      </c>
      <c r="D196" s="7" t="s">
        <v>335</v>
      </c>
      <c r="E196" s="7" t="s">
        <v>58</v>
      </c>
      <c r="F196" s="8" t="s">
        <v>5</v>
      </c>
      <c r="G196" s="7" t="s">
        <v>58</v>
      </c>
      <c r="H196" s="7" t="s">
        <v>336</v>
      </c>
      <c r="I196" s="7" t="s">
        <v>337</v>
      </c>
      <c r="J196" s="9" t="s">
        <v>9</v>
      </c>
    </row>
    <row r="197" customFormat="false" ht="23.85" hidden="false" customHeight="false" outlineLevel="0" collapsed="false">
      <c r="A197" s="7" t="n">
        <v>196</v>
      </c>
      <c r="B197" s="7" t="s">
        <v>13</v>
      </c>
      <c r="C197" s="7" t="n">
        <v>105</v>
      </c>
      <c r="D197" s="7" t="s">
        <v>338</v>
      </c>
      <c r="E197" s="7" t="s">
        <v>58</v>
      </c>
      <c r="F197" s="8" t="s">
        <v>5</v>
      </c>
      <c r="G197" s="7" t="s">
        <v>58</v>
      </c>
      <c r="H197" s="7" t="s">
        <v>336</v>
      </c>
      <c r="I197" s="7" t="s">
        <v>337</v>
      </c>
      <c r="J197" s="9" t="s">
        <v>9</v>
      </c>
    </row>
    <row r="198" customFormat="false" ht="15" hidden="false" customHeight="false" outlineLevel="0" collapsed="false">
      <c r="A198" s="7" t="n">
        <v>197</v>
      </c>
      <c r="B198" s="7" t="s">
        <v>13</v>
      </c>
      <c r="C198" s="7" t="n">
        <v>107</v>
      </c>
      <c r="D198" s="7" t="s">
        <v>339</v>
      </c>
      <c r="E198" s="7" t="s">
        <v>58</v>
      </c>
      <c r="F198" s="8" t="s">
        <v>5</v>
      </c>
      <c r="G198" s="7" t="s">
        <v>58</v>
      </c>
      <c r="H198" s="7" t="s">
        <v>340</v>
      </c>
      <c r="I198" s="7" t="s">
        <v>341</v>
      </c>
      <c r="J198" s="9" t="s">
        <v>9</v>
      </c>
    </row>
    <row r="199" customFormat="false" ht="15" hidden="false" customHeight="false" outlineLevel="0" collapsed="false">
      <c r="A199" s="7" t="n">
        <v>198</v>
      </c>
      <c r="B199" s="7" t="s">
        <v>13</v>
      </c>
      <c r="C199" s="7" t="n">
        <v>116</v>
      </c>
      <c r="D199" s="7" t="s">
        <v>342</v>
      </c>
      <c r="E199" s="7" t="s">
        <v>58</v>
      </c>
      <c r="F199" s="8" t="s">
        <v>5</v>
      </c>
      <c r="G199" s="7" t="s">
        <v>58</v>
      </c>
      <c r="H199" s="7" t="s">
        <v>343</v>
      </c>
      <c r="I199" s="7" t="s">
        <v>344</v>
      </c>
      <c r="J199" s="9" t="s">
        <v>9</v>
      </c>
    </row>
    <row r="200" customFormat="false" ht="15" hidden="false" customHeight="false" outlineLevel="0" collapsed="false">
      <c r="A200" s="7" t="n">
        <v>199</v>
      </c>
      <c r="B200" s="7" t="s">
        <v>13</v>
      </c>
      <c r="C200" s="7" t="n">
        <v>117</v>
      </c>
      <c r="D200" s="7" t="s">
        <v>345</v>
      </c>
      <c r="E200" s="7" t="s">
        <v>58</v>
      </c>
      <c r="F200" s="8" t="s">
        <v>5</v>
      </c>
      <c r="G200" s="7" t="s">
        <v>58</v>
      </c>
      <c r="H200" s="7" t="s">
        <v>343</v>
      </c>
      <c r="I200" s="7" t="s">
        <v>344</v>
      </c>
      <c r="J200" s="9" t="s">
        <v>9</v>
      </c>
    </row>
    <row r="201" customFormat="false" ht="15" hidden="false" customHeight="false" outlineLevel="0" collapsed="false">
      <c r="A201" s="7" t="n">
        <v>200</v>
      </c>
      <c r="B201" s="7" t="s">
        <v>13</v>
      </c>
      <c r="C201" s="7" t="n">
        <v>2</v>
      </c>
      <c r="D201" s="7" t="s">
        <v>346</v>
      </c>
      <c r="E201" s="7" t="s">
        <v>347</v>
      </c>
      <c r="F201" s="10" t="s">
        <v>6</v>
      </c>
      <c r="G201" s="7" t="s">
        <v>54</v>
      </c>
      <c r="H201" s="7" t="s">
        <v>348</v>
      </c>
      <c r="I201" s="7" t="s">
        <v>349</v>
      </c>
      <c r="J201" s="9" t="s">
        <v>9</v>
      </c>
    </row>
    <row r="202" customFormat="false" ht="15" hidden="false" customHeight="false" outlineLevel="0" collapsed="false">
      <c r="A202" s="7" t="n">
        <v>201</v>
      </c>
      <c r="B202" s="7" t="s">
        <v>13</v>
      </c>
      <c r="C202" s="7" t="n">
        <v>3</v>
      </c>
      <c r="D202" s="7" t="s">
        <v>350</v>
      </c>
      <c r="E202" s="7" t="s">
        <v>347</v>
      </c>
      <c r="F202" s="10" t="s">
        <v>6</v>
      </c>
      <c r="G202" s="7" t="s">
        <v>54</v>
      </c>
      <c r="H202" s="7" t="s">
        <v>348</v>
      </c>
      <c r="I202" s="7" t="s">
        <v>349</v>
      </c>
      <c r="J202" s="9" t="s">
        <v>9</v>
      </c>
    </row>
    <row r="203" customFormat="false" ht="15" hidden="false" customHeight="false" outlineLevel="0" collapsed="false">
      <c r="A203" s="7" t="n">
        <v>202</v>
      </c>
      <c r="B203" s="7" t="s">
        <v>13</v>
      </c>
      <c r="C203" s="7" t="n">
        <v>4</v>
      </c>
      <c r="D203" s="7" t="s">
        <v>351</v>
      </c>
      <c r="E203" s="7" t="s">
        <v>347</v>
      </c>
      <c r="F203" s="10" t="s">
        <v>6</v>
      </c>
      <c r="G203" s="7" t="s">
        <v>54</v>
      </c>
      <c r="H203" s="7" t="s">
        <v>348</v>
      </c>
      <c r="I203" s="7" t="s">
        <v>349</v>
      </c>
      <c r="J203" s="9" t="s">
        <v>9</v>
      </c>
    </row>
    <row r="204" customFormat="false" ht="15" hidden="false" customHeight="false" outlineLevel="0" collapsed="false">
      <c r="A204" s="7" t="n">
        <v>203</v>
      </c>
      <c r="B204" s="7" t="s">
        <v>13</v>
      </c>
      <c r="C204" s="7" t="n">
        <v>5</v>
      </c>
      <c r="D204" s="7" t="s">
        <v>352</v>
      </c>
      <c r="E204" s="7" t="s">
        <v>347</v>
      </c>
      <c r="F204" s="10" t="s">
        <v>6</v>
      </c>
      <c r="G204" s="7" t="s">
        <v>54</v>
      </c>
      <c r="H204" s="7" t="s">
        <v>348</v>
      </c>
      <c r="I204" s="7" t="s">
        <v>349</v>
      </c>
      <c r="J204" s="9" t="s">
        <v>9</v>
      </c>
    </row>
    <row r="205" customFormat="false" ht="15" hidden="false" customHeight="false" outlineLevel="0" collapsed="false">
      <c r="A205" s="7" t="n">
        <v>204</v>
      </c>
      <c r="B205" s="7" t="s">
        <v>13</v>
      </c>
      <c r="C205" s="7" t="n">
        <v>6</v>
      </c>
      <c r="D205" s="7" t="s">
        <v>353</v>
      </c>
      <c r="E205" s="7" t="s">
        <v>347</v>
      </c>
      <c r="F205" s="10" t="s">
        <v>6</v>
      </c>
      <c r="G205" s="7" t="s">
        <v>54</v>
      </c>
      <c r="H205" s="7" t="s">
        <v>348</v>
      </c>
      <c r="I205" s="7" t="s">
        <v>349</v>
      </c>
      <c r="J205" s="9" t="s">
        <v>9</v>
      </c>
    </row>
    <row r="206" customFormat="false" ht="15" hidden="false" customHeight="false" outlineLevel="0" collapsed="false">
      <c r="A206" s="7" t="n">
        <v>205</v>
      </c>
      <c r="B206" s="7" t="s">
        <v>13</v>
      </c>
      <c r="C206" s="7" t="n">
        <v>7</v>
      </c>
      <c r="D206" s="7" t="s">
        <v>354</v>
      </c>
      <c r="E206" s="7" t="s">
        <v>347</v>
      </c>
      <c r="F206" s="10" t="s">
        <v>6</v>
      </c>
      <c r="G206" s="7" t="s">
        <v>54</v>
      </c>
      <c r="H206" s="7" t="s">
        <v>348</v>
      </c>
      <c r="I206" s="7" t="s">
        <v>349</v>
      </c>
      <c r="J206" s="9" t="s">
        <v>9</v>
      </c>
    </row>
    <row r="207" customFormat="false" ht="15" hidden="false" customHeight="false" outlineLevel="0" collapsed="false">
      <c r="A207" s="7" t="n">
        <v>206</v>
      </c>
      <c r="B207" s="7" t="s">
        <v>13</v>
      </c>
      <c r="C207" s="7" t="n">
        <v>8</v>
      </c>
      <c r="D207" s="7" t="s">
        <v>355</v>
      </c>
      <c r="E207" s="7" t="s">
        <v>347</v>
      </c>
      <c r="F207" s="10" t="s">
        <v>6</v>
      </c>
      <c r="G207" s="7" t="s">
        <v>54</v>
      </c>
      <c r="H207" s="7" t="s">
        <v>348</v>
      </c>
      <c r="I207" s="7" t="s">
        <v>349</v>
      </c>
      <c r="J207" s="9" t="s">
        <v>9</v>
      </c>
    </row>
    <row r="208" customFormat="false" ht="15" hidden="false" customHeight="false" outlineLevel="0" collapsed="false">
      <c r="A208" s="7" t="n">
        <v>207</v>
      </c>
      <c r="B208" s="7" t="s">
        <v>13</v>
      </c>
      <c r="C208" s="7" t="n">
        <v>9</v>
      </c>
      <c r="D208" s="7" t="s">
        <v>356</v>
      </c>
      <c r="E208" s="7" t="s">
        <v>347</v>
      </c>
      <c r="F208" s="10" t="s">
        <v>6</v>
      </c>
      <c r="G208" s="7" t="s">
        <v>54</v>
      </c>
      <c r="H208" s="7" t="s">
        <v>348</v>
      </c>
      <c r="I208" s="7" t="s">
        <v>349</v>
      </c>
      <c r="J208" s="9" t="s">
        <v>9</v>
      </c>
    </row>
    <row r="209" customFormat="false" ht="15" hidden="false" customHeight="false" outlineLevel="0" collapsed="false">
      <c r="A209" s="7" t="n">
        <v>208</v>
      </c>
      <c r="B209" s="7" t="s">
        <v>13</v>
      </c>
      <c r="C209" s="7" t="n">
        <v>10</v>
      </c>
      <c r="D209" s="7" t="s">
        <v>357</v>
      </c>
      <c r="E209" s="7" t="s">
        <v>347</v>
      </c>
      <c r="F209" s="10" t="s">
        <v>6</v>
      </c>
      <c r="G209" s="7" t="s">
        <v>54</v>
      </c>
      <c r="H209" s="7" t="s">
        <v>348</v>
      </c>
      <c r="I209" s="7" t="s">
        <v>349</v>
      </c>
      <c r="J209" s="9" t="s">
        <v>9</v>
      </c>
    </row>
    <row r="210" customFormat="false" ht="15" hidden="false" customHeight="false" outlineLevel="0" collapsed="false">
      <c r="A210" s="7" t="n">
        <v>209</v>
      </c>
      <c r="B210" s="7" t="s">
        <v>13</v>
      </c>
      <c r="C210" s="7" t="n">
        <v>11</v>
      </c>
      <c r="D210" s="7" t="s">
        <v>358</v>
      </c>
      <c r="E210" s="7" t="s">
        <v>347</v>
      </c>
      <c r="F210" s="10" t="s">
        <v>6</v>
      </c>
      <c r="G210" s="7" t="s">
        <v>54</v>
      </c>
      <c r="H210" s="7" t="s">
        <v>348</v>
      </c>
      <c r="I210" s="7" t="s">
        <v>349</v>
      </c>
      <c r="J210" s="9" t="s">
        <v>9</v>
      </c>
    </row>
    <row r="211" customFormat="false" ht="15" hidden="false" customHeight="false" outlineLevel="0" collapsed="false">
      <c r="A211" s="7" t="n">
        <v>210</v>
      </c>
      <c r="B211" s="7" t="s">
        <v>13</v>
      </c>
      <c r="C211" s="7" t="n">
        <v>12</v>
      </c>
      <c r="D211" s="7" t="s">
        <v>359</v>
      </c>
      <c r="E211" s="7" t="s">
        <v>347</v>
      </c>
      <c r="F211" s="10" t="s">
        <v>6</v>
      </c>
      <c r="G211" s="7" t="s">
        <v>54</v>
      </c>
      <c r="H211" s="7" t="s">
        <v>348</v>
      </c>
      <c r="I211" s="7" t="s">
        <v>349</v>
      </c>
      <c r="J211" s="9" t="s">
        <v>9</v>
      </c>
    </row>
    <row r="212" customFormat="false" ht="15" hidden="false" customHeight="false" outlineLevel="0" collapsed="false">
      <c r="A212" s="7" t="n">
        <v>211</v>
      </c>
      <c r="B212" s="7" t="s">
        <v>13</v>
      </c>
      <c r="C212" s="7" t="n">
        <v>38</v>
      </c>
      <c r="D212" s="7" t="s">
        <v>360</v>
      </c>
      <c r="E212" s="7" t="s">
        <v>347</v>
      </c>
      <c r="F212" s="10" t="s">
        <v>6</v>
      </c>
      <c r="G212" s="7" t="s">
        <v>54</v>
      </c>
      <c r="H212" s="7" t="s">
        <v>348</v>
      </c>
      <c r="I212" s="7" t="s">
        <v>349</v>
      </c>
      <c r="J212" s="9" t="s">
        <v>9</v>
      </c>
    </row>
    <row r="213" customFormat="false" ht="15" hidden="false" customHeight="false" outlineLevel="0" collapsed="false">
      <c r="A213" s="7" t="n">
        <v>212</v>
      </c>
      <c r="B213" s="7" t="s">
        <v>13</v>
      </c>
      <c r="C213" s="7" t="n">
        <v>39</v>
      </c>
      <c r="D213" s="7" t="s">
        <v>361</v>
      </c>
      <c r="E213" s="7" t="s">
        <v>347</v>
      </c>
      <c r="F213" s="10" t="s">
        <v>6</v>
      </c>
      <c r="G213" s="7" t="s">
        <v>54</v>
      </c>
      <c r="H213" s="7" t="s">
        <v>348</v>
      </c>
      <c r="I213" s="7" t="s">
        <v>349</v>
      </c>
      <c r="J213" s="9" t="s">
        <v>9</v>
      </c>
    </row>
    <row r="214" customFormat="false" ht="15" hidden="false" customHeight="false" outlineLevel="0" collapsed="false">
      <c r="A214" s="7" t="n">
        <v>213</v>
      </c>
      <c r="B214" s="7" t="s">
        <v>13</v>
      </c>
      <c r="C214" s="7" t="n">
        <v>40</v>
      </c>
      <c r="D214" s="7" t="s">
        <v>362</v>
      </c>
      <c r="E214" s="7" t="s">
        <v>347</v>
      </c>
      <c r="F214" s="10" t="s">
        <v>6</v>
      </c>
      <c r="G214" s="7" t="s">
        <v>54</v>
      </c>
      <c r="H214" s="7" t="s">
        <v>348</v>
      </c>
      <c r="I214" s="7" t="s">
        <v>349</v>
      </c>
      <c r="J214" s="9" t="s">
        <v>9</v>
      </c>
    </row>
    <row r="215" customFormat="false" ht="15" hidden="false" customHeight="false" outlineLevel="0" collapsed="false">
      <c r="A215" s="7" t="n">
        <v>214</v>
      </c>
      <c r="B215" s="7" t="s">
        <v>13</v>
      </c>
      <c r="C215" s="7" t="n">
        <v>41</v>
      </c>
      <c r="D215" s="7" t="s">
        <v>363</v>
      </c>
      <c r="E215" s="7" t="s">
        <v>347</v>
      </c>
      <c r="F215" s="10" t="s">
        <v>6</v>
      </c>
      <c r="G215" s="7" t="s">
        <v>54</v>
      </c>
      <c r="H215" s="7" t="s">
        <v>348</v>
      </c>
      <c r="I215" s="7" t="s">
        <v>349</v>
      </c>
      <c r="J215" s="9" t="s">
        <v>9</v>
      </c>
    </row>
    <row r="216" customFormat="false" ht="15" hidden="false" customHeight="false" outlineLevel="0" collapsed="false">
      <c r="A216" s="7" t="n">
        <v>215</v>
      </c>
      <c r="B216" s="7" t="s">
        <v>13</v>
      </c>
      <c r="C216" s="7" t="n">
        <v>54</v>
      </c>
      <c r="D216" s="7" t="s">
        <v>364</v>
      </c>
      <c r="E216" s="7" t="s">
        <v>347</v>
      </c>
      <c r="F216" s="10" t="s">
        <v>6</v>
      </c>
      <c r="G216" s="7" t="s">
        <v>54</v>
      </c>
      <c r="H216" s="7" t="s">
        <v>348</v>
      </c>
      <c r="I216" s="7" t="s">
        <v>349</v>
      </c>
      <c r="J216" s="9" t="s">
        <v>9</v>
      </c>
    </row>
    <row r="217" customFormat="false" ht="23.85" hidden="false" customHeight="false" outlineLevel="0" collapsed="false">
      <c r="A217" s="7" t="n">
        <v>216</v>
      </c>
      <c r="B217" s="7" t="s">
        <v>13</v>
      </c>
      <c r="C217" s="7" t="n">
        <v>57</v>
      </c>
      <c r="D217" s="7" t="s">
        <v>314</v>
      </c>
      <c r="E217" s="7" t="s">
        <v>365</v>
      </c>
      <c r="F217" s="10" t="s">
        <v>6</v>
      </c>
      <c r="G217" s="7" t="s">
        <v>130</v>
      </c>
      <c r="H217" s="7" t="s">
        <v>366</v>
      </c>
      <c r="I217" s="7" t="s">
        <v>367</v>
      </c>
      <c r="J217" s="9" t="s">
        <v>9</v>
      </c>
    </row>
    <row r="218" customFormat="false" ht="23.85" hidden="false" customHeight="false" outlineLevel="0" collapsed="false">
      <c r="A218" s="7" t="n">
        <v>217</v>
      </c>
      <c r="B218" s="7" t="s">
        <v>13</v>
      </c>
      <c r="C218" s="7" t="n">
        <v>87</v>
      </c>
      <c r="D218" s="7" t="s">
        <v>368</v>
      </c>
      <c r="E218" s="7" t="s">
        <v>143</v>
      </c>
      <c r="F218" s="10" t="s">
        <v>6</v>
      </c>
      <c r="G218" s="7" t="s">
        <v>130</v>
      </c>
      <c r="H218" s="7" t="s">
        <v>369</v>
      </c>
      <c r="I218" s="7" t="s">
        <v>370</v>
      </c>
      <c r="J218" s="9" t="s">
        <v>9</v>
      </c>
    </row>
    <row r="219" customFormat="false" ht="23.85" hidden="false" customHeight="false" outlineLevel="0" collapsed="false">
      <c r="A219" s="7" t="n">
        <v>218</v>
      </c>
      <c r="B219" s="7" t="s">
        <v>13</v>
      </c>
      <c r="C219" s="7" t="n">
        <v>88</v>
      </c>
      <c r="D219" s="7" t="s">
        <v>371</v>
      </c>
      <c r="E219" s="7" t="s">
        <v>143</v>
      </c>
      <c r="F219" s="10" t="s">
        <v>6</v>
      </c>
      <c r="G219" s="7" t="s">
        <v>130</v>
      </c>
      <c r="H219" s="7" t="s">
        <v>369</v>
      </c>
      <c r="I219" s="7" t="s">
        <v>370</v>
      </c>
      <c r="J219" s="9" t="s">
        <v>9</v>
      </c>
    </row>
    <row r="220" customFormat="false" ht="15" hidden="false" customHeight="false" outlineLevel="0" collapsed="false">
      <c r="A220" s="7" t="n">
        <v>219</v>
      </c>
      <c r="B220" s="7" t="s">
        <v>13</v>
      </c>
      <c r="C220" s="7" t="n">
        <v>120</v>
      </c>
      <c r="D220" s="7" t="s">
        <v>372</v>
      </c>
      <c r="E220" s="7" t="s">
        <v>347</v>
      </c>
      <c r="F220" s="10" t="s">
        <v>6</v>
      </c>
      <c r="G220" s="7" t="s">
        <v>54</v>
      </c>
      <c r="H220" s="7" t="s">
        <v>348</v>
      </c>
      <c r="I220" s="7" t="s">
        <v>349</v>
      </c>
      <c r="J220" s="9" t="s">
        <v>9</v>
      </c>
    </row>
    <row r="221" customFormat="false" ht="15" hidden="false" customHeight="false" outlineLevel="0" collapsed="false">
      <c r="A221" s="7" t="n">
        <v>220</v>
      </c>
      <c r="B221" s="7" t="s">
        <v>13</v>
      </c>
      <c r="C221" s="7" t="n">
        <v>121</v>
      </c>
      <c r="D221" s="7" t="s">
        <v>373</v>
      </c>
      <c r="E221" s="7" t="s">
        <v>347</v>
      </c>
      <c r="F221" s="10" t="s">
        <v>6</v>
      </c>
      <c r="G221" s="7" t="s">
        <v>54</v>
      </c>
      <c r="H221" s="7" t="s">
        <v>348</v>
      </c>
      <c r="I221" s="7" t="s">
        <v>349</v>
      </c>
      <c r="J221" s="9" t="s">
        <v>9</v>
      </c>
    </row>
    <row r="222" customFormat="false" ht="15" hidden="false" customHeight="false" outlineLevel="0" collapsed="false">
      <c r="A222" s="7" t="n">
        <v>221</v>
      </c>
      <c r="B222" s="7" t="s">
        <v>13</v>
      </c>
      <c r="C222" s="7" t="n">
        <v>122</v>
      </c>
      <c r="D222" s="7" t="s">
        <v>374</v>
      </c>
      <c r="E222" s="7" t="s">
        <v>347</v>
      </c>
      <c r="F222" s="10" t="s">
        <v>6</v>
      </c>
      <c r="G222" s="7" t="s">
        <v>54</v>
      </c>
      <c r="H222" s="7" t="s">
        <v>348</v>
      </c>
      <c r="I222" s="7" t="s">
        <v>349</v>
      </c>
      <c r="J222" s="9" t="s">
        <v>9</v>
      </c>
    </row>
    <row r="223" customFormat="false" ht="15" hidden="false" customHeight="false" outlineLevel="0" collapsed="false">
      <c r="A223" s="7" t="n">
        <v>222</v>
      </c>
      <c r="B223" s="7" t="s">
        <v>13</v>
      </c>
      <c r="C223" s="7" t="n">
        <v>123</v>
      </c>
      <c r="D223" s="7" t="s">
        <v>375</v>
      </c>
      <c r="E223" s="7" t="s">
        <v>347</v>
      </c>
      <c r="F223" s="10" t="s">
        <v>6</v>
      </c>
      <c r="G223" s="7" t="s">
        <v>54</v>
      </c>
      <c r="H223" s="7" t="s">
        <v>348</v>
      </c>
      <c r="I223" s="7" t="s">
        <v>349</v>
      </c>
      <c r="J223" s="9" t="s">
        <v>9</v>
      </c>
    </row>
    <row r="224" customFormat="false" ht="15" hidden="false" customHeight="false" outlineLevel="0" collapsed="false">
      <c r="A224" s="7" t="n">
        <v>223</v>
      </c>
      <c r="B224" s="7" t="s">
        <v>13</v>
      </c>
      <c r="C224" s="7" t="n">
        <v>124</v>
      </c>
      <c r="D224" s="7" t="s">
        <v>376</v>
      </c>
      <c r="E224" s="7" t="s">
        <v>347</v>
      </c>
      <c r="F224" s="10" t="s">
        <v>6</v>
      </c>
      <c r="G224" s="7" t="s">
        <v>54</v>
      </c>
      <c r="H224" s="7" t="s">
        <v>348</v>
      </c>
      <c r="I224" s="7" t="s">
        <v>349</v>
      </c>
      <c r="J224" s="9" t="s">
        <v>9</v>
      </c>
    </row>
    <row r="225" customFormat="false" ht="15" hidden="false" customHeight="false" outlineLevel="0" collapsed="false">
      <c r="A225" s="7" t="n">
        <v>224</v>
      </c>
      <c r="B225" s="7" t="s">
        <v>13</v>
      </c>
      <c r="C225" s="7" t="n">
        <v>125</v>
      </c>
      <c r="D225" s="7" t="s">
        <v>377</v>
      </c>
      <c r="E225" s="7" t="s">
        <v>347</v>
      </c>
      <c r="F225" s="10" t="s">
        <v>6</v>
      </c>
      <c r="G225" s="7" t="s">
        <v>54</v>
      </c>
      <c r="H225" s="7" t="s">
        <v>348</v>
      </c>
      <c r="I225" s="7" t="s">
        <v>349</v>
      </c>
      <c r="J225" s="9" t="s">
        <v>9</v>
      </c>
    </row>
    <row r="226" customFormat="false" ht="15" hidden="false" customHeight="false" outlineLevel="0" collapsed="false">
      <c r="A226" s="7" t="n">
        <v>225</v>
      </c>
      <c r="B226" s="7" t="s">
        <v>13</v>
      </c>
      <c r="C226" s="7" t="n">
        <v>129</v>
      </c>
      <c r="D226" s="7" t="s">
        <v>378</v>
      </c>
      <c r="E226" s="7" t="s">
        <v>347</v>
      </c>
      <c r="F226" s="10" t="s">
        <v>6</v>
      </c>
      <c r="G226" s="7" t="s">
        <v>54</v>
      </c>
      <c r="H226" s="7" t="s">
        <v>348</v>
      </c>
      <c r="I226" s="7" t="s">
        <v>349</v>
      </c>
      <c r="J226" s="9" t="s">
        <v>9</v>
      </c>
    </row>
    <row r="227" customFormat="false" ht="15" hidden="false" customHeight="false" outlineLevel="0" collapsed="false">
      <c r="A227" s="7" t="n">
        <v>226</v>
      </c>
      <c r="B227" s="7" t="s">
        <v>13</v>
      </c>
      <c r="C227" s="7" t="n">
        <v>130</v>
      </c>
      <c r="D227" s="7" t="s">
        <v>379</v>
      </c>
      <c r="E227" s="7" t="s">
        <v>347</v>
      </c>
      <c r="F227" s="10" t="s">
        <v>6</v>
      </c>
      <c r="G227" s="7" t="s">
        <v>54</v>
      </c>
      <c r="H227" s="7" t="s">
        <v>348</v>
      </c>
      <c r="I227" s="7" t="s">
        <v>349</v>
      </c>
      <c r="J227" s="9" t="s">
        <v>9</v>
      </c>
    </row>
    <row r="228" customFormat="false" ht="15" hidden="false" customHeight="false" outlineLevel="0" collapsed="false">
      <c r="A228" s="7" t="n">
        <v>227</v>
      </c>
      <c r="B228" s="7" t="s">
        <v>13</v>
      </c>
      <c r="C228" s="7" t="n">
        <v>131</v>
      </c>
      <c r="D228" s="7" t="s">
        <v>380</v>
      </c>
      <c r="E228" s="7" t="s">
        <v>347</v>
      </c>
      <c r="F228" s="10" t="s">
        <v>6</v>
      </c>
      <c r="G228" s="7" t="s">
        <v>54</v>
      </c>
      <c r="H228" s="7" t="s">
        <v>348</v>
      </c>
      <c r="I228" s="7" t="s">
        <v>349</v>
      </c>
      <c r="J228" s="9" t="s">
        <v>9</v>
      </c>
    </row>
    <row r="229" customFormat="false" ht="15" hidden="false" customHeight="false" outlineLevel="0" collapsed="false">
      <c r="A229" s="7" t="n">
        <v>228</v>
      </c>
      <c r="B229" s="7" t="s">
        <v>13</v>
      </c>
      <c r="C229" s="7" t="n">
        <v>132</v>
      </c>
      <c r="D229" s="7" t="s">
        <v>381</v>
      </c>
      <c r="E229" s="7" t="s">
        <v>347</v>
      </c>
      <c r="F229" s="10" t="s">
        <v>6</v>
      </c>
      <c r="G229" s="7" t="s">
        <v>54</v>
      </c>
      <c r="H229" s="7" t="s">
        <v>348</v>
      </c>
      <c r="I229" s="7" t="s">
        <v>349</v>
      </c>
      <c r="J229" s="9" t="s">
        <v>9</v>
      </c>
    </row>
    <row r="230" customFormat="false" ht="15" hidden="false" customHeight="false" outlineLevel="0" collapsed="false">
      <c r="A230" s="7" t="n">
        <v>229</v>
      </c>
      <c r="B230" s="7" t="s">
        <v>13</v>
      </c>
      <c r="C230" s="7" t="n">
        <v>133</v>
      </c>
      <c r="D230" s="7" t="s">
        <v>382</v>
      </c>
      <c r="E230" s="7" t="s">
        <v>347</v>
      </c>
      <c r="F230" s="10" t="s">
        <v>6</v>
      </c>
      <c r="G230" s="7" t="s">
        <v>54</v>
      </c>
      <c r="H230" s="7" t="s">
        <v>348</v>
      </c>
      <c r="I230" s="7" t="s">
        <v>349</v>
      </c>
      <c r="J230" s="9" t="s">
        <v>9</v>
      </c>
    </row>
    <row r="231" customFormat="false" ht="15" hidden="false" customHeight="false" outlineLevel="0" collapsed="false">
      <c r="A231" s="7" t="n">
        <v>230</v>
      </c>
      <c r="B231" s="7" t="s">
        <v>13</v>
      </c>
      <c r="C231" s="7" t="n">
        <v>134</v>
      </c>
      <c r="D231" s="7" t="s">
        <v>383</v>
      </c>
      <c r="E231" s="7" t="s">
        <v>347</v>
      </c>
      <c r="F231" s="10" t="s">
        <v>6</v>
      </c>
      <c r="G231" s="7" t="s">
        <v>54</v>
      </c>
      <c r="H231" s="7" t="s">
        <v>348</v>
      </c>
      <c r="I231" s="7" t="s">
        <v>349</v>
      </c>
      <c r="J231" s="9" t="s">
        <v>9</v>
      </c>
    </row>
    <row r="232" customFormat="false" ht="15" hidden="false" customHeight="false" outlineLevel="0" collapsed="false">
      <c r="A232" s="7" t="n">
        <v>231</v>
      </c>
      <c r="B232" s="7" t="s">
        <v>13</v>
      </c>
      <c r="C232" s="7" t="n">
        <v>135</v>
      </c>
      <c r="D232" s="7" t="s">
        <v>384</v>
      </c>
      <c r="E232" s="7" t="s">
        <v>347</v>
      </c>
      <c r="F232" s="10" t="s">
        <v>6</v>
      </c>
      <c r="G232" s="7" t="s">
        <v>54</v>
      </c>
      <c r="H232" s="7" t="s">
        <v>348</v>
      </c>
      <c r="I232" s="7" t="s">
        <v>349</v>
      </c>
      <c r="J232" s="9" t="s">
        <v>9</v>
      </c>
    </row>
    <row r="233" customFormat="false" ht="15" hidden="false" customHeight="false" outlineLevel="0" collapsed="false">
      <c r="A233" s="7" t="n">
        <v>232</v>
      </c>
      <c r="B233" s="7" t="s">
        <v>13</v>
      </c>
      <c r="C233" s="7" t="n">
        <v>150</v>
      </c>
      <c r="D233" s="7" t="s">
        <v>385</v>
      </c>
      <c r="E233" s="7" t="s">
        <v>347</v>
      </c>
      <c r="F233" s="10" t="s">
        <v>6</v>
      </c>
      <c r="G233" s="7" t="s">
        <v>54</v>
      </c>
      <c r="H233" s="7" t="s">
        <v>348</v>
      </c>
      <c r="I233" s="7" t="s">
        <v>349</v>
      </c>
      <c r="J233" s="9" t="s">
        <v>9</v>
      </c>
    </row>
    <row r="234" customFormat="false" ht="15" hidden="false" customHeight="false" outlineLevel="0" collapsed="false">
      <c r="A234" s="7" t="n">
        <v>233</v>
      </c>
      <c r="B234" s="7" t="s">
        <v>13</v>
      </c>
      <c r="C234" s="7" t="n">
        <v>151</v>
      </c>
      <c r="D234" s="7" t="s">
        <v>386</v>
      </c>
      <c r="E234" s="7" t="s">
        <v>347</v>
      </c>
      <c r="F234" s="10" t="s">
        <v>6</v>
      </c>
      <c r="G234" s="7" t="s">
        <v>54</v>
      </c>
      <c r="H234" s="7" t="s">
        <v>348</v>
      </c>
      <c r="I234" s="7" t="s">
        <v>349</v>
      </c>
      <c r="J234" s="9" t="s">
        <v>9</v>
      </c>
    </row>
    <row r="235" customFormat="false" ht="15" hidden="false" customHeight="false" outlineLevel="0" collapsed="false">
      <c r="A235" s="7" t="n">
        <v>234</v>
      </c>
      <c r="B235" s="7" t="s">
        <v>13</v>
      </c>
      <c r="C235" s="7" t="n">
        <v>152</v>
      </c>
      <c r="D235" s="7" t="s">
        <v>387</v>
      </c>
      <c r="E235" s="7" t="s">
        <v>347</v>
      </c>
      <c r="F235" s="10" t="s">
        <v>6</v>
      </c>
      <c r="G235" s="7" t="s">
        <v>54</v>
      </c>
      <c r="H235" s="7" t="s">
        <v>348</v>
      </c>
      <c r="I235" s="7" t="s">
        <v>349</v>
      </c>
      <c r="J235" s="9" t="s">
        <v>9</v>
      </c>
    </row>
    <row r="236" customFormat="false" ht="15" hidden="false" customHeight="false" outlineLevel="0" collapsed="false">
      <c r="A236" s="7" t="n">
        <v>235</v>
      </c>
      <c r="B236" s="7" t="s">
        <v>13</v>
      </c>
      <c r="C236" s="7" t="n">
        <v>153</v>
      </c>
      <c r="D236" s="7" t="s">
        <v>388</v>
      </c>
      <c r="E236" s="7" t="s">
        <v>347</v>
      </c>
      <c r="F236" s="10" t="s">
        <v>6</v>
      </c>
      <c r="G236" s="7" t="s">
        <v>54</v>
      </c>
      <c r="H236" s="7" t="s">
        <v>348</v>
      </c>
      <c r="I236" s="7" t="s">
        <v>349</v>
      </c>
      <c r="J236" s="9" t="s">
        <v>9</v>
      </c>
    </row>
    <row r="237" customFormat="false" ht="15" hidden="false" customHeight="false" outlineLevel="0" collapsed="false">
      <c r="A237" s="7" t="n">
        <v>236</v>
      </c>
      <c r="B237" s="7" t="s">
        <v>13</v>
      </c>
      <c r="C237" s="7" t="n">
        <v>153</v>
      </c>
      <c r="D237" s="7" t="s">
        <v>388</v>
      </c>
      <c r="E237" s="7" t="s">
        <v>138</v>
      </c>
      <c r="F237" s="10" t="s">
        <v>6</v>
      </c>
      <c r="G237" s="7" t="s">
        <v>130</v>
      </c>
      <c r="H237" s="7" t="s">
        <v>389</v>
      </c>
      <c r="I237" s="7" t="s">
        <v>390</v>
      </c>
      <c r="J237" s="9" t="s">
        <v>9</v>
      </c>
    </row>
    <row r="238" customFormat="false" ht="15" hidden="false" customHeight="false" outlineLevel="0" collapsed="false">
      <c r="A238" s="7" t="n">
        <v>237</v>
      </c>
      <c r="B238" s="7" t="s">
        <v>13</v>
      </c>
      <c r="C238" s="7" t="n">
        <v>154</v>
      </c>
      <c r="D238" s="7" t="s">
        <v>391</v>
      </c>
      <c r="E238" s="7" t="s">
        <v>347</v>
      </c>
      <c r="F238" s="10" t="s">
        <v>6</v>
      </c>
      <c r="G238" s="7" t="s">
        <v>54</v>
      </c>
      <c r="H238" s="7" t="s">
        <v>348</v>
      </c>
      <c r="I238" s="7" t="s">
        <v>349</v>
      </c>
      <c r="J238" s="9" t="s">
        <v>9</v>
      </c>
    </row>
    <row r="239" customFormat="false" ht="15" hidden="false" customHeight="false" outlineLevel="0" collapsed="false">
      <c r="A239" s="7" t="n">
        <v>238</v>
      </c>
      <c r="B239" s="7" t="s">
        <v>13</v>
      </c>
      <c r="C239" s="7" t="n">
        <v>154</v>
      </c>
      <c r="D239" s="7" t="s">
        <v>391</v>
      </c>
      <c r="E239" s="7" t="s">
        <v>138</v>
      </c>
      <c r="F239" s="10" t="s">
        <v>6</v>
      </c>
      <c r="G239" s="7" t="s">
        <v>130</v>
      </c>
      <c r="H239" s="7" t="s">
        <v>389</v>
      </c>
      <c r="I239" s="7" t="s">
        <v>390</v>
      </c>
      <c r="J239" s="9" t="s">
        <v>9</v>
      </c>
    </row>
    <row r="240" customFormat="false" ht="15" hidden="false" customHeight="false" outlineLevel="0" collapsed="false">
      <c r="A240" s="7" t="n">
        <v>239</v>
      </c>
      <c r="B240" s="7" t="s">
        <v>13</v>
      </c>
      <c r="C240" s="7" t="n">
        <v>155</v>
      </c>
      <c r="D240" s="7" t="s">
        <v>392</v>
      </c>
      <c r="E240" s="7" t="s">
        <v>347</v>
      </c>
      <c r="F240" s="10" t="s">
        <v>6</v>
      </c>
      <c r="G240" s="7" t="s">
        <v>54</v>
      </c>
      <c r="H240" s="7" t="s">
        <v>348</v>
      </c>
      <c r="I240" s="7" t="s">
        <v>349</v>
      </c>
      <c r="J240" s="9" t="s">
        <v>9</v>
      </c>
    </row>
    <row r="241" customFormat="false" ht="15" hidden="false" customHeight="false" outlineLevel="0" collapsed="false">
      <c r="A241" s="7" t="n">
        <v>240</v>
      </c>
      <c r="B241" s="7" t="s">
        <v>13</v>
      </c>
      <c r="C241" s="7" t="n">
        <v>156</v>
      </c>
      <c r="D241" s="7" t="s">
        <v>393</v>
      </c>
      <c r="E241" s="7" t="s">
        <v>347</v>
      </c>
      <c r="F241" s="10" t="s">
        <v>6</v>
      </c>
      <c r="G241" s="7" t="s">
        <v>54</v>
      </c>
      <c r="H241" s="7" t="s">
        <v>348</v>
      </c>
      <c r="I241" s="7" t="s">
        <v>349</v>
      </c>
      <c r="J241" s="9" t="s">
        <v>9</v>
      </c>
    </row>
    <row r="242" customFormat="false" ht="15" hidden="false" customHeight="false" outlineLevel="0" collapsed="false">
      <c r="A242" s="7" t="n">
        <v>241</v>
      </c>
      <c r="B242" s="7" t="s">
        <v>13</v>
      </c>
      <c r="C242" s="7" t="n">
        <v>157</v>
      </c>
      <c r="D242" s="7" t="s">
        <v>394</v>
      </c>
      <c r="E242" s="7" t="s">
        <v>347</v>
      </c>
      <c r="F242" s="10" t="s">
        <v>6</v>
      </c>
      <c r="G242" s="7" t="s">
        <v>54</v>
      </c>
      <c r="H242" s="7" t="s">
        <v>348</v>
      </c>
      <c r="I242" s="7" t="s">
        <v>349</v>
      </c>
      <c r="J242" s="9" t="s">
        <v>9</v>
      </c>
    </row>
    <row r="243" customFormat="false" ht="15" hidden="false" customHeight="false" outlineLevel="0" collapsed="false">
      <c r="A243" s="7" t="n">
        <v>242</v>
      </c>
      <c r="B243" s="7" t="s">
        <v>13</v>
      </c>
      <c r="C243" s="7" t="n">
        <v>158</v>
      </c>
      <c r="D243" s="7" t="s">
        <v>395</v>
      </c>
      <c r="E243" s="7" t="s">
        <v>347</v>
      </c>
      <c r="F243" s="10" t="s">
        <v>6</v>
      </c>
      <c r="G243" s="7" t="s">
        <v>54</v>
      </c>
      <c r="H243" s="7" t="s">
        <v>348</v>
      </c>
      <c r="I243" s="7" t="s">
        <v>349</v>
      </c>
      <c r="J243" s="9" t="s">
        <v>9</v>
      </c>
    </row>
    <row r="244" customFormat="false" ht="15" hidden="false" customHeight="false" outlineLevel="0" collapsed="false">
      <c r="A244" s="7" t="n">
        <v>243</v>
      </c>
      <c r="B244" s="7" t="s">
        <v>13</v>
      </c>
      <c r="C244" s="7" t="n">
        <v>159</v>
      </c>
      <c r="D244" s="7" t="s">
        <v>396</v>
      </c>
      <c r="E244" s="7" t="s">
        <v>347</v>
      </c>
      <c r="F244" s="10" t="s">
        <v>6</v>
      </c>
      <c r="G244" s="7" t="s">
        <v>54</v>
      </c>
      <c r="H244" s="7" t="s">
        <v>348</v>
      </c>
      <c r="I244" s="7" t="s">
        <v>349</v>
      </c>
      <c r="J244" s="9" t="s">
        <v>9</v>
      </c>
    </row>
    <row r="245" customFormat="false" ht="15" hidden="false" customHeight="false" outlineLevel="0" collapsed="false">
      <c r="A245" s="7" t="n">
        <v>244</v>
      </c>
      <c r="B245" s="7" t="s">
        <v>13</v>
      </c>
      <c r="C245" s="7" t="n">
        <v>160</v>
      </c>
      <c r="D245" s="7" t="s">
        <v>397</v>
      </c>
      <c r="E245" s="7" t="s">
        <v>347</v>
      </c>
      <c r="F245" s="10" t="s">
        <v>6</v>
      </c>
      <c r="G245" s="7" t="s">
        <v>54</v>
      </c>
      <c r="H245" s="7" t="s">
        <v>348</v>
      </c>
      <c r="I245" s="7" t="s">
        <v>349</v>
      </c>
      <c r="J245" s="9" t="s">
        <v>9</v>
      </c>
    </row>
    <row r="246" customFormat="false" ht="15" hidden="false" customHeight="false" outlineLevel="0" collapsed="false">
      <c r="A246" s="7" t="n">
        <v>245</v>
      </c>
      <c r="B246" s="7" t="s">
        <v>13</v>
      </c>
      <c r="C246" s="7" t="n">
        <v>161</v>
      </c>
      <c r="D246" s="7" t="s">
        <v>398</v>
      </c>
      <c r="E246" s="7" t="s">
        <v>347</v>
      </c>
      <c r="F246" s="10" t="s">
        <v>6</v>
      </c>
      <c r="G246" s="7" t="s">
        <v>54</v>
      </c>
      <c r="H246" s="7" t="s">
        <v>348</v>
      </c>
      <c r="I246" s="7" t="s">
        <v>349</v>
      </c>
      <c r="J246" s="9" t="s">
        <v>9</v>
      </c>
    </row>
    <row r="247" customFormat="false" ht="15" hidden="false" customHeight="false" outlineLevel="0" collapsed="false">
      <c r="A247" s="7" t="n">
        <v>246</v>
      </c>
      <c r="B247" s="7" t="s">
        <v>13</v>
      </c>
      <c r="C247" s="7" t="n">
        <v>164</v>
      </c>
      <c r="D247" s="7" t="s">
        <v>399</v>
      </c>
      <c r="E247" s="7" t="s">
        <v>347</v>
      </c>
      <c r="F247" s="10" t="s">
        <v>6</v>
      </c>
      <c r="G247" s="7" t="s">
        <v>54</v>
      </c>
      <c r="H247" s="7" t="s">
        <v>348</v>
      </c>
      <c r="I247" s="7" t="s">
        <v>349</v>
      </c>
      <c r="J247" s="9" t="s">
        <v>9</v>
      </c>
    </row>
    <row r="248" customFormat="false" ht="15" hidden="false" customHeight="false" outlineLevel="0" collapsed="false">
      <c r="A248" s="7" t="n">
        <v>247</v>
      </c>
      <c r="B248" s="7" t="s">
        <v>13</v>
      </c>
      <c r="C248" s="7" t="n">
        <v>165</v>
      </c>
      <c r="D248" s="7" t="s">
        <v>400</v>
      </c>
      <c r="E248" s="7" t="s">
        <v>347</v>
      </c>
      <c r="F248" s="10" t="s">
        <v>6</v>
      </c>
      <c r="G248" s="7" t="s">
        <v>54</v>
      </c>
      <c r="H248" s="7" t="s">
        <v>348</v>
      </c>
      <c r="I248" s="7" t="s">
        <v>349</v>
      </c>
      <c r="J248" s="9" t="s">
        <v>9</v>
      </c>
    </row>
    <row r="249" customFormat="false" ht="15" hidden="false" customHeight="false" outlineLevel="0" collapsed="false">
      <c r="A249" s="7" t="n">
        <v>248</v>
      </c>
      <c r="B249" s="7" t="s">
        <v>13</v>
      </c>
      <c r="C249" s="7" t="n">
        <v>166</v>
      </c>
      <c r="D249" s="7" t="s">
        <v>401</v>
      </c>
      <c r="E249" s="7" t="s">
        <v>347</v>
      </c>
      <c r="F249" s="10" t="s">
        <v>6</v>
      </c>
      <c r="G249" s="7" t="s">
        <v>54</v>
      </c>
      <c r="H249" s="7" t="s">
        <v>348</v>
      </c>
      <c r="I249" s="7" t="s">
        <v>349</v>
      </c>
      <c r="J249" s="9" t="s">
        <v>9</v>
      </c>
    </row>
    <row r="250" customFormat="false" ht="15" hidden="false" customHeight="false" outlineLevel="0" collapsed="false">
      <c r="A250" s="7" t="n">
        <v>249</v>
      </c>
      <c r="B250" s="7" t="s">
        <v>13</v>
      </c>
      <c r="C250" s="7" t="n">
        <v>166</v>
      </c>
      <c r="D250" s="7" t="s">
        <v>401</v>
      </c>
      <c r="E250" s="7" t="s">
        <v>402</v>
      </c>
      <c r="F250" s="10" t="s">
        <v>6</v>
      </c>
      <c r="G250" s="7" t="s">
        <v>86</v>
      </c>
      <c r="H250" s="7" t="s">
        <v>403</v>
      </c>
      <c r="I250" s="7" t="s">
        <v>404</v>
      </c>
      <c r="J250" s="9" t="s">
        <v>9</v>
      </c>
    </row>
    <row r="251" customFormat="false" ht="23.85" hidden="false" customHeight="false" outlineLevel="0" collapsed="false">
      <c r="A251" s="7" t="n">
        <v>250</v>
      </c>
      <c r="B251" s="7" t="s">
        <v>13</v>
      </c>
      <c r="C251" s="7"/>
      <c r="D251" s="7" t="s">
        <v>405</v>
      </c>
      <c r="E251" s="7" t="s">
        <v>143</v>
      </c>
      <c r="F251" s="11" t="s">
        <v>7</v>
      </c>
      <c r="G251" s="7" t="s">
        <v>130</v>
      </c>
      <c r="H251" s="7" t="s">
        <v>406</v>
      </c>
      <c r="I251" s="7" t="s">
        <v>407</v>
      </c>
      <c r="J251" s="9" t="s">
        <v>9</v>
      </c>
    </row>
    <row r="252" customFormat="false" ht="15" hidden="false" customHeight="false" outlineLevel="0" collapsed="false">
      <c r="A252" s="7" t="n">
        <v>251</v>
      </c>
      <c r="B252" s="7" t="s">
        <v>13</v>
      </c>
      <c r="C252" s="7"/>
      <c r="D252" s="7" t="s">
        <v>408</v>
      </c>
      <c r="E252" s="7" t="s">
        <v>409</v>
      </c>
      <c r="F252" s="11" t="s">
        <v>7</v>
      </c>
      <c r="G252" s="7" t="s">
        <v>54</v>
      </c>
      <c r="H252" s="7" t="s">
        <v>410</v>
      </c>
      <c r="I252" s="7" t="s">
        <v>411</v>
      </c>
      <c r="J252" s="9" t="s">
        <v>9</v>
      </c>
    </row>
    <row r="253" customFormat="false" ht="15" hidden="false" customHeight="false" outlineLevel="0" collapsed="false">
      <c r="A253" s="7" t="n">
        <v>252</v>
      </c>
      <c r="B253" s="7" t="s">
        <v>13</v>
      </c>
      <c r="C253" s="7"/>
      <c r="D253" s="7" t="s">
        <v>412</v>
      </c>
      <c r="E253" s="7" t="s">
        <v>413</v>
      </c>
      <c r="F253" s="11" t="s">
        <v>7</v>
      </c>
      <c r="G253" s="7" t="s">
        <v>54</v>
      </c>
      <c r="H253" s="7" t="s">
        <v>414</v>
      </c>
      <c r="I253" s="7" t="s">
        <v>415</v>
      </c>
      <c r="J253" s="9" t="s">
        <v>9</v>
      </c>
    </row>
    <row r="254" customFormat="false" ht="23.85" hidden="false" customHeight="false" outlineLevel="0" collapsed="false">
      <c r="A254" s="7" t="n">
        <v>253</v>
      </c>
      <c r="B254" s="7" t="s">
        <v>13</v>
      </c>
      <c r="C254" s="7" t="n">
        <v>23</v>
      </c>
      <c r="D254" s="7" t="s">
        <v>416</v>
      </c>
      <c r="E254" s="7" t="s">
        <v>417</v>
      </c>
      <c r="F254" s="11" t="s">
        <v>7</v>
      </c>
      <c r="G254" s="7" t="s">
        <v>130</v>
      </c>
      <c r="H254" s="7" t="s">
        <v>418</v>
      </c>
      <c r="I254" s="7" t="s">
        <v>419</v>
      </c>
      <c r="J254" s="9" t="s">
        <v>9</v>
      </c>
    </row>
    <row r="255" customFormat="false" ht="23.85" hidden="false" customHeight="false" outlineLevel="0" collapsed="false">
      <c r="A255" s="7" t="n">
        <v>254</v>
      </c>
      <c r="B255" s="7" t="s">
        <v>13</v>
      </c>
      <c r="C255" s="7" t="n">
        <v>113</v>
      </c>
      <c r="D255" s="7" t="s">
        <v>420</v>
      </c>
      <c r="E255" s="7" t="s">
        <v>417</v>
      </c>
      <c r="F255" s="11" t="s">
        <v>7</v>
      </c>
      <c r="G255" s="7" t="s">
        <v>130</v>
      </c>
      <c r="H255" s="7" t="s">
        <v>421</v>
      </c>
      <c r="I255" s="7" t="s">
        <v>419</v>
      </c>
      <c r="J255" s="9" t="s">
        <v>9</v>
      </c>
    </row>
    <row r="256" customFormat="false" ht="23.85" hidden="false" customHeight="false" outlineLevel="0" collapsed="false">
      <c r="A256" s="7" t="n">
        <v>255</v>
      </c>
      <c r="B256" s="7" t="s">
        <v>13</v>
      </c>
      <c r="C256" s="7" t="n">
        <v>114</v>
      </c>
      <c r="D256" s="7" t="s">
        <v>422</v>
      </c>
      <c r="E256" s="7" t="s">
        <v>417</v>
      </c>
      <c r="F256" s="11" t="s">
        <v>7</v>
      </c>
      <c r="G256" s="7" t="s">
        <v>130</v>
      </c>
      <c r="H256" s="7" t="s">
        <v>421</v>
      </c>
      <c r="I256" s="7" t="s">
        <v>419</v>
      </c>
      <c r="J256" s="9" t="s">
        <v>9</v>
      </c>
    </row>
    <row r="257" customFormat="false" ht="23.85" hidden="false" customHeight="false" outlineLevel="0" collapsed="false">
      <c r="A257" s="7" t="n">
        <v>256</v>
      </c>
      <c r="B257" s="7" t="s">
        <v>13</v>
      </c>
      <c r="C257" s="7" t="n">
        <v>115</v>
      </c>
      <c r="D257" s="7" t="s">
        <v>423</v>
      </c>
      <c r="E257" s="7" t="s">
        <v>417</v>
      </c>
      <c r="F257" s="11" t="s">
        <v>7</v>
      </c>
      <c r="G257" s="7" t="s">
        <v>130</v>
      </c>
      <c r="H257" s="7" t="s">
        <v>421</v>
      </c>
      <c r="I257" s="7" t="s">
        <v>419</v>
      </c>
      <c r="J257" s="9" t="s">
        <v>9</v>
      </c>
    </row>
    <row r="258" customFormat="false" ht="15" hidden="false" customHeight="false" outlineLevel="0" collapsed="false">
      <c r="A258" s="7" t="n">
        <v>257</v>
      </c>
      <c r="B258" s="7" t="s">
        <v>13</v>
      </c>
      <c r="C258" s="7" t="n">
        <v>151</v>
      </c>
      <c r="D258" s="7" t="s">
        <v>386</v>
      </c>
      <c r="E258" s="7" t="s">
        <v>138</v>
      </c>
      <c r="F258" s="11" t="s">
        <v>7</v>
      </c>
      <c r="G258" s="7" t="s">
        <v>130</v>
      </c>
      <c r="H258" s="7" t="s">
        <v>424</v>
      </c>
      <c r="I258" s="7" t="s">
        <v>425</v>
      </c>
      <c r="J258" s="9" t="s">
        <v>9</v>
      </c>
    </row>
    <row r="259" customFormat="false" ht="15" hidden="false" customHeight="false" outlineLevel="0" collapsed="false">
      <c r="A259" s="7" t="n">
        <v>258</v>
      </c>
      <c r="B259" s="7" t="s">
        <v>13</v>
      </c>
      <c r="C259" s="7" t="n">
        <v>152</v>
      </c>
      <c r="D259" s="7" t="s">
        <v>387</v>
      </c>
      <c r="E259" s="7" t="s">
        <v>138</v>
      </c>
      <c r="F259" s="11" t="s">
        <v>7</v>
      </c>
      <c r="G259" s="7" t="s">
        <v>130</v>
      </c>
      <c r="H259" s="7" t="s">
        <v>424</v>
      </c>
      <c r="I259" s="7" t="s">
        <v>425</v>
      </c>
      <c r="J259" s="9" t="s">
        <v>9</v>
      </c>
    </row>
    <row r="260" customFormat="false" ht="15" hidden="false" customHeight="false" outlineLevel="0" collapsed="false">
      <c r="A260" s="7" t="n">
        <v>259</v>
      </c>
      <c r="B260" s="7" t="s">
        <v>13</v>
      </c>
      <c r="C260" s="7" t="n">
        <v>153</v>
      </c>
      <c r="D260" s="7" t="s">
        <v>388</v>
      </c>
      <c r="E260" s="7" t="s">
        <v>138</v>
      </c>
      <c r="F260" s="11" t="s">
        <v>7</v>
      </c>
      <c r="G260" s="7" t="s">
        <v>130</v>
      </c>
      <c r="H260" s="7" t="s">
        <v>424</v>
      </c>
      <c r="I260" s="7" t="s">
        <v>425</v>
      </c>
      <c r="J260" s="9" t="s">
        <v>9</v>
      </c>
    </row>
    <row r="261" customFormat="false" ht="15" hidden="false" customHeight="false" outlineLevel="0" collapsed="false">
      <c r="A261" s="7" t="n">
        <v>260</v>
      </c>
      <c r="B261" s="7" t="s">
        <v>13</v>
      </c>
      <c r="C261" s="7" t="n">
        <v>154</v>
      </c>
      <c r="D261" s="7" t="s">
        <v>391</v>
      </c>
      <c r="E261" s="7" t="s">
        <v>138</v>
      </c>
      <c r="F261" s="11" t="s">
        <v>7</v>
      </c>
      <c r="G261" s="7" t="s">
        <v>130</v>
      </c>
      <c r="H261" s="7" t="s">
        <v>424</v>
      </c>
      <c r="I261" s="7" t="s">
        <v>425</v>
      </c>
      <c r="J261" s="9" t="s">
        <v>9</v>
      </c>
    </row>
    <row r="262" customFormat="false" ht="15" hidden="false" customHeight="false" outlineLevel="0" collapsed="false">
      <c r="A262" s="7" t="n">
        <v>261</v>
      </c>
      <c r="B262" s="7" t="s">
        <v>13</v>
      </c>
      <c r="C262" s="7" t="n">
        <v>155</v>
      </c>
      <c r="D262" s="7" t="s">
        <v>392</v>
      </c>
      <c r="E262" s="7" t="s">
        <v>138</v>
      </c>
      <c r="F262" s="11" t="s">
        <v>7</v>
      </c>
      <c r="G262" s="7" t="s">
        <v>130</v>
      </c>
      <c r="H262" s="7" t="s">
        <v>426</v>
      </c>
      <c r="I262" s="7" t="s">
        <v>425</v>
      </c>
      <c r="J262" s="9" t="s">
        <v>9</v>
      </c>
    </row>
    <row r="263" customFormat="false" ht="15" hidden="false" customHeight="false" outlineLevel="0" collapsed="false">
      <c r="A263" s="7" t="n">
        <v>262</v>
      </c>
      <c r="B263" s="7" t="s">
        <v>13</v>
      </c>
      <c r="C263" s="7" t="n">
        <v>156</v>
      </c>
      <c r="D263" s="7" t="s">
        <v>393</v>
      </c>
      <c r="E263" s="7" t="s">
        <v>138</v>
      </c>
      <c r="F263" s="11" t="s">
        <v>7</v>
      </c>
      <c r="G263" s="7" t="s">
        <v>130</v>
      </c>
      <c r="H263" s="7" t="s">
        <v>426</v>
      </c>
      <c r="I263" s="7" t="s">
        <v>425</v>
      </c>
      <c r="J263" s="9" t="s">
        <v>9</v>
      </c>
    </row>
    <row r="264" customFormat="false" ht="23.85" hidden="false" customHeight="false" outlineLevel="0" collapsed="false">
      <c r="A264" s="7" t="n">
        <v>263</v>
      </c>
      <c r="B264" s="7" t="s">
        <v>14</v>
      </c>
      <c r="C264" s="7"/>
      <c r="D264" s="7" t="s">
        <v>39</v>
      </c>
      <c r="E264" s="7" t="s">
        <v>40</v>
      </c>
      <c r="F264" s="8" t="s">
        <v>5</v>
      </c>
      <c r="G264" s="7" t="s">
        <v>41</v>
      </c>
      <c r="H264" s="7" t="s">
        <v>42</v>
      </c>
      <c r="I264" s="7" t="s">
        <v>43</v>
      </c>
      <c r="J264" s="9" t="s">
        <v>9</v>
      </c>
    </row>
    <row r="265" customFormat="false" ht="23.85" hidden="false" customHeight="false" outlineLevel="0" collapsed="false">
      <c r="A265" s="7" t="n">
        <v>264</v>
      </c>
      <c r="B265" s="7" t="s">
        <v>14</v>
      </c>
      <c r="C265" s="7" t="n">
        <v>2</v>
      </c>
      <c r="D265" s="7" t="s">
        <v>427</v>
      </c>
      <c r="E265" s="7" t="s">
        <v>248</v>
      </c>
      <c r="F265" s="8" t="s">
        <v>5</v>
      </c>
      <c r="G265" s="7" t="s">
        <v>130</v>
      </c>
      <c r="H265" s="7" t="s">
        <v>428</v>
      </c>
      <c r="I265" s="7" t="s">
        <v>429</v>
      </c>
      <c r="J265" s="9" t="s">
        <v>9</v>
      </c>
    </row>
    <row r="266" customFormat="false" ht="23.85" hidden="false" customHeight="false" outlineLevel="0" collapsed="false">
      <c r="A266" s="7" t="n">
        <v>265</v>
      </c>
      <c r="B266" s="7" t="s">
        <v>14</v>
      </c>
      <c r="C266" s="7" t="n">
        <v>3</v>
      </c>
      <c r="D266" s="7" t="s">
        <v>430</v>
      </c>
      <c r="E266" s="7" t="s">
        <v>248</v>
      </c>
      <c r="F266" s="8" t="s">
        <v>5</v>
      </c>
      <c r="G266" s="7" t="s">
        <v>130</v>
      </c>
      <c r="H266" s="7" t="s">
        <v>428</v>
      </c>
      <c r="I266" s="7" t="s">
        <v>429</v>
      </c>
      <c r="J266" s="9" t="s">
        <v>9</v>
      </c>
    </row>
    <row r="267" customFormat="false" ht="23.85" hidden="false" customHeight="false" outlineLevel="0" collapsed="false">
      <c r="A267" s="7" t="n">
        <v>266</v>
      </c>
      <c r="B267" s="7" t="s">
        <v>14</v>
      </c>
      <c r="C267" s="7" t="n">
        <v>4</v>
      </c>
      <c r="D267" s="7" t="s">
        <v>431</v>
      </c>
      <c r="E267" s="7" t="s">
        <v>248</v>
      </c>
      <c r="F267" s="8" t="s">
        <v>5</v>
      </c>
      <c r="G267" s="7" t="s">
        <v>130</v>
      </c>
      <c r="H267" s="7" t="s">
        <v>428</v>
      </c>
      <c r="I267" s="7" t="s">
        <v>429</v>
      </c>
      <c r="J267" s="9" t="s">
        <v>9</v>
      </c>
    </row>
    <row r="268" customFormat="false" ht="23.85" hidden="false" customHeight="false" outlineLevel="0" collapsed="false">
      <c r="A268" s="7" t="n">
        <v>267</v>
      </c>
      <c r="B268" s="7" t="s">
        <v>14</v>
      </c>
      <c r="C268" s="7" t="n">
        <v>5</v>
      </c>
      <c r="D268" s="7" t="s">
        <v>432</v>
      </c>
      <c r="E268" s="7" t="s">
        <v>248</v>
      </c>
      <c r="F268" s="8" t="s">
        <v>5</v>
      </c>
      <c r="G268" s="7" t="s">
        <v>130</v>
      </c>
      <c r="H268" s="7" t="s">
        <v>428</v>
      </c>
      <c r="I268" s="7" t="s">
        <v>429</v>
      </c>
      <c r="J268" s="9" t="s">
        <v>9</v>
      </c>
    </row>
    <row r="269" customFormat="false" ht="23.85" hidden="false" customHeight="false" outlineLevel="0" collapsed="false">
      <c r="A269" s="7" t="n">
        <v>268</v>
      </c>
      <c r="B269" s="7" t="s">
        <v>14</v>
      </c>
      <c r="C269" s="7" t="n">
        <v>6</v>
      </c>
      <c r="D269" s="7" t="s">
        <v>433</v>
      </c>
      <c r="E269" s="7" t="s">
        <v>248</v>
      </c>
      <c r="F269" s="8" t="s">
        <v>5</v>
      </c>
      <c r="G269" s="7" t="s">
        <v>130</v>
      </c>
      <c r="H269" s="7" t="s">
        <v>428</v>
      </c>
      <c r="I269" s="7" t="s">
        <v>429</v>
      </c>
      <c r="J269" s="9" t="s">
        <v>9</v>
      </c>
    </row>
    <row r="270" customFormat="false" ht="23.85" hidden="false" customHeight="false" outlineLevel="0" collapsed="false">
      <c r="A270" s="7" t="n">
        <v>269</v>
      </c>
      <c r="B270" s="7" t="s">
        <v>14</v>
      </c>
      <c r="C270" s="7" t="n">
        <v>7</v>
      </c>
      <c r="D270" s="7" t="s">
        <v>434</v>
      </c>
      <c r="E270" s="7" t="s">
        <v>248</v>
      </c>
      <c r="F270" s="8" t="s">
        <v>5</v>
      </c>
      <c r="G270" s="7" t="s">
        <v>130</v>
      </c>
      <c r="H270" s="7" t="s">
        <v>428</v>
      </c>
      <c r="I270" s="7" t="s">
        <v>429</v>
      </c>
      <c r="J270" s="9" t="s">
        <v>9</v>
      </c>
    </row>
    <row r="271" customFormat="false" ht="23.85" hidden="false" customHeight="false" outlineLevel="0" collapsed="false">
      <c r="A271" s="7" t="n">
        <v>270</v>
      </c>
      <c r="B271" s="7" t="s">
        <v>14</v>
      </c>
      <c r="C271" s="7" t="n">
        <v>8</v>
      </c>
      <c r="D271" s="7" t="s">
        <v>435</v>
      </c>
      <c r="E271" s="7" t="s">
        <v>248</v>
      </c>
      <c r="F271" s="8" t="s">
        <v>5</v>
      </c>
      <c r="G271" s="7" t="s">
        <v>130</v>
      </c>
      <c r="H271" s="7" t="s">
        <v>428</v>
      </c>
      <c r="I271" s="7" t="s">
        <v>429</v>
      </c>
      <c r="J271" s="9" t="s">
        <v>9</v>
      </c>
    </row>
    <row r="272" customFormat="false" ht="23.85" hidden="false" customHeight="false" outlineLevel="0" collapsed="false">
      <c r="A272" s="7" t="n">
        <v>271</v>
      </c>
      <c r="B272" s="7" t="s">
        <v>14</v>
      </c>
      <c r="C272" s="7" t="n">
        <v>9</v>
      </c>
      <c r="D272" s="7" t="s">
        <v>436</v>
      </c>
      <c r="E272" s="7" t="s">
        <v>248</v>
      </c>
      <c r="F272" s="8" t="s">
        <v>5</v>
      </c>
      <c r="G272" s="7" t="s">
        <v>130</v>
      </c>
      <c r="H272" s="7" t="s">
        <v>428</v>
      </c>
      <c r="I272" s="7" t="s">
        <v>429</v>
      </c>
      <c r="J272" s="9" t="s">
        <v>9</v>
      </c>
    </row>
    <row r="273" customFormat="false" ht="23.85" hidden="false" customHeight="false" outlineLevel="0" collapsed="false">
      <c r="A273" s="7" t="n">
        <v>272</v>
      </c>
      <c r="B273" s="7" t="s">
        <v>14</v>
      </c>
      <c r="C273" s="7" t="n">
        <v>10</v>
      </c>
      <c r="D273" s="7" t="s">
        <v>437</v>
      </c>
      <c r="E273" s="7" t="s">
        <v>248</v>
      </c>
      <c r="F273" s="8" t="s">
        <v>5</v>
      </c>
      <c r="G273" s="7" t="s">
        <v>130</v>
      </c>
      <c r="H273" s="7" t="s">
        <v>428</v>
      </c>
      <c r="I273" s="7" t="s">
        <v>429</v>
      </c>
      <c r="J273" s="9" t="s">
        <v>9</v>
      </c>
    </row>
    <row r="274" customFormat="false" ht="23.85" hidden="false" customHeight="false" outlineLevel="0" collapsed="false">
      <c r="A274" s="7" t="n">
        <v>273</v>
      </c>
      <c r="B274" s="7" t="s">
        <v>14</v>
      </c>
      <c r="C274" s="7" t="n">
        <v>11</v>
      </c>
      <c r="D274" s="7" t="s">
        <v>438</v>
      </c>
      <c r="E274" s="7" t="s">
        <v>248</v>
      </c>
      <c r="F274" s="8" t="s">
        <v>5</v>
      </c>
      <c r="G274" s="7" t="s">
        <v>130</v>
      </c>
      <c r="H274" s="7" t="s">
        <v>428</v>
      </c>
      <c r="I274" s="7" t="s">
        <v>429</v>
      </c>
      <c r="J274" s="9" t="s">
        <v>9</v>
      </c>
    </row>
    <row r="275" customFormat="false" ht="23.85" hidden="false" customHeight="false" outlineLevel="0" collapsed="false">
      <c r="A275" s="7" t="n">
        <v>274</v>
      </c>
      <c r="B275" s="7" t="s">
        <v>14</v>
      </c>
      <c r="C275" s="7" t="n">
        <v>12</v>
      </c>
      <c r="D275" s="7" t="s">
        <v>439</v>
      </c>
      <c r="E275" s="7" t="s">
        <v>248</v>
      </c>
      <c r="F275" s="8" t="s">
        <v>5</v>
      </c>
      <c r="G275" s="7" t="s">
        <v>130</v>
      </c>
      <c r="H275" s="7" t="s">
        <v>428</v>
      </c>
      <c r="I275" s="7" t="s">
        <v>429</v>
      </c>
      <c r="J275" s="9" t="s">
        <v>9</v>
      </c>
    </row>
    <row r="276" customFormat="false" ht="23.85" hidden="false" customHeight="false" outlineLevel="0" collapsed="false">
      <c r="A276" s="7" t="n">
        <v>275</v>
      </c>
      <c r="B276" s="7" t="s">
        <v>14</v>
      </c>
      <c r="C276" s="7" t="n">
        <v>13</v>
      </c>
      <c r="D276" s="7" t="s">
        <v>440</v>
      </c>
      <c r="E276" s="7" t="s">
        <v>248</v>
      </c>
      <c r="F276" s="8" t="s">
        <v>5</v>
      </c>
      <c r="G276" s="7" t="s">
        <v>130</v>
      </c>
      <c r="H276" s="7" t="s">
        <v>428</v>
      </c>
      <c r="I276" s="7" t="s">
        <v>429</v>
      </c>
      <c r="J276" s="9" t="s">
        <v>9</v>
      </c>
    </row>
    <row r="277" customFormat="false" ht="23.85" hidden="false" customHeight="false" outlineLevel="0" collapsed="false">
      <c r="A277" s="7" t="n">
        <v>276</v>
      </c>
      <c r="B277" s="7" t="s">
        <v>14</v>
      </c>
      <c r="C277" s="7" t="n">
        <v>14</v>
      </c>
      <c r="D277" s="7" t="s">
        <v>441</v>
      </c>
      <c r="E277" s="7" t="s">
        <v>248</v>
      </c>
      <c r="F277" s="8" t="s">
        <v>5</v>
      </c>
      <c r="G277" s="7" t="s">
        <v>130</v>
      </c>
      <c r="H277" s="7" t="s">
        <v>428</v>
      </c>
      <c r="I277" s="7" t="s">
        <v>429</v>
      </c>
      <c r="J277" s="9" t="s">
        <v>9</v>
      </c>
    </row>
    <row r="278" customFormat="false" ht="23.85" hidden="false" customHeight="false" outlineLevel="0" collapsed="false">
      <c r="A278" s="7" t="n">
        <v>277</v>
      </c>
      <c r="B278" s="7" t="s">
        <v>14</v>
      </c>
      <c r="C278" s="7" t="n">
        <v>15</v>
      </c>
      <c r="D278" s="7" t="s">
        <v>442</v>
      </c>
      <c r="E278" s="7" t="s">
        <v>248</v>
      </c>
      <c r="F278" s="8" t="s">
        <v>5</v>
      </c>
      <c r="G278" s="7" t="s">
        <v>130</v>
      </c>
      <c r="H278" s="7" t="s">
        <v>428</v>
      </c>
      <c r="I278" s="7" t="s">
        <v>429</v>
      </c>
      <c r="J278" s="9" t="s">
        <v>9</v>
      </c>
    </row>
    <row r="279" customFormat="false" ht="23.85" hidden="false" customHeight="false" outlineLevel="0" collapsed="false">
      <c r="A279" s="7" t="n">
        <v>278</v>
      </c>
      <c r="B279" s="7" t="s">
        <v>14</v>
      </c>
      <c r="C279" s="7" t="n">
        <v>16</v>
      </c>
      <c r="D279" s="7" t="s">
        <v>443</v>
      </c>
      <c r="E279" s="7" t="s">
        <v>248</v>
      </c>
      <c r="F279" s="8" t="s">
        <v>5</v>
      </c>
      <c r="G279" s="7" t="s">
        <v>130</v>
      </c>
      <c r="H279" s="7" t="s">
        <v>428</v>
      </c>
      <c r="I279" s="7" t="s">
        <v>429</v>
      </c>
      <c r="J279" s="9" t="s">
        <v>9</v>
      </c>
    </row>
    <row r="280" customFormat="false" ht="23.85" hidden="false" customHeight="false" outlineLevel="0" collapsed="false">
      <c r="A280" s="7" t="n">
        <v>279</v>
      </c>
      <c r="B280" s="7" t="s">
        <v>14</v>
      </c>
      <c r="C280" s="7" t="n">
        <v>17</v>
      </c>
      <c r="D280" s="7" t="s">
        <v>444</v>
      </c>
      <c r="E280" s="7" t="s">
        <v>248</v>
      </c>
      <c r="F280" s="8" t="s">
        <v>5</v>
      </c>
      <c r="G280" s="7" t="s">
        <v>130</v>
      </c>
      <c r="H280" s="7" t="s">
        <v>428</v>
      </c>
      <c r="I280" s="7" t="s">
        <v>429</v>
      </c>
      <c r="J280" s="9" t="s">
        <v>9</v>
      </c>
    </row>
    <row r="281" customFormat="false" ht="23.85" hidden="false" customHeight="false" outlineLevel="0" collapsed="false">
      <c r="A281" s="7" t="n">
        <v>280</v>
      </c>
      <c r="B281" s="7" t="s">
        <v>14</v>
      </c>
      <c r="C281" s="7" t="n">
        <v>18</v>
      </c>
      <c r="D281" s="7" t="s">
        <v>445</v>
      </c>
      <c r="E281" s="7" t="s">
        <v>248</v>
      </c>
      <c r="F281" s="8" t="s">
        <v>5</v>
      </c>
      <c r="G281" s="7" t="s">
        <v>130</v>
      </c>
      <c r="H281" s="7" t="s">
        <v>428</v>
      </c>
      <c r="I281" s="7" t="s">
        <v>429</v>
      </c>
      <c r="J281" s="9" t="s">
        <v>9</v>
      </c>
    </row>
    <row r="282" customFormat="false" ht="23.85" hidden="false" customHeight="false" outlineLevel="0" collapsed="false">
      <c r="A282" s="7" t="n">
        <v>281</v>
      </c>
      <c r="B282" s="7" t="s">
        <v>14</v>
      </c>
      <c r="C282" s="7" t="n">
        <v>19</v>
      </c>
      <c r="D282" s="7" t="s">
        <v>446</v>
      </c>
      <c r="E282" s="7" t="s">
        <v>248</v>
      </c>
      <c r="F282" s="8" t="s">
        <v>5</v>
      </c>
      <c r="G282" s="7" t="s">
        <v>130</v>
      </c>
      <c r="H282" s="7" t="s">
        <v>428</v>
      </c>
      <c r="I282" s="7" t="s">
        <v>429</v>
      </c>
      <c r="J282" s="9" t="s">
        <v>9</v>
      </c>
    </row>
    <row r="283" customFormat="false" ht="23.85" hidden="false" customHeight="false" outlineLevel="0" collapsed="false">
      <c r="A283" s="7" t="n">
        <v>282</v>
      </c>
      <c r="B283" s="7" t="s">
        <v>14</v>
      </c>
      <c r="C283" s="7" t="n">
        <v>20</v>
      </c>
      <c r="D283" s="7" t="s">
        <v>447</v>
      </c>
      <c r="E283" s="7" t="s">
        <v>248</v>
      </c>
      <c r="F283" s="8" t="s">
        <v>5</v>
      </c>
      <c r="G283" s="7" t="s">
        <v>130</v>
      </c>
      <c r="H283" s="7" t="s">
        <v>428</v>
      </c>
      <c r="I283" s="7" t="s">
        <v>429</v>
      </c>
      <c r="J283" s="9" t="s">
        <v>9</v>
      </c>
    </row>
    <row r="284" customFormat="false" ht="23.85" hidden="false" customHeight="false" outlineLevel="0" collapsed="false">
      <c r="A284" s="7" t="n">
        <v>283</v>
      </c>
      <c r="B284" s="7" t="s">
        <v>14</v>
      </c>
      <c r="C284" s="7" t="n">
        <v>21</v>
      </c>
      <c r="D284" s="7" t="s">
        <v>448</v>
      </c>
      <c r="E284" s="7" t="s">
        <v>248</v>
      </c>
      <c r="F284" s="8" t="s">
        <v>5</v>
      </c>
      <c r="G284" s="7" t="s">
        <v>130</v>
      </c>
      <c r="H284" s="7" t="s">
        <v>428</v>
      </c>
      <c r="I284" s="7" t="s">
        <v>429</v>
      </c>
      <c r="J284" s="9" t="s">
        <v>9</v>
      </c>
    </row>
    <row r="285" customFormat="false" ht="23.85" hidden="false" customHeight="false" outlineLevel="0" collapsed="false">
      <c r="A285" s="7" t="n">
        <v>284</v>
      </c>
      <c r="B285" s="7" t="s">
        <v>14</v>
      </c>
      <c r="C285" s="7" t="n">
        <v>22</v>
      </c>
      <c r="D285" s="7" t="s">
        <v>449</v>
      </c>
      <c r="E285" s="7" t="s">
        <v>248</v>
      </c>
      <c r="F285" s="8" t="s">
        <v>5</v>
      </c>
      <c r="G285" s="7" t="s">
        <v>130</v>
      </c>
      <c r="H285" s="7" t="s">
        <v>428</v>
      </c>
      <c r="I285" s="7" t="s">
        <v>429</v>
      </c>
      <c r="J285" s="9" t="s">
        <v>9</v>
      </c>
    </row>
    <row r="286" customFormat="false" ht="23.85" hidden="false" customHeight="false" outlineLevel="0" collapsed="false">
      <c r="A286" s="7" t="n">
        <v>285</v>
      </c>
      <c r="B286" s="7" t="s">
        <v>14</v>
      </c>
      <c r="C286" s="7" t="n">
        <v>23</v>
      </c>
      <c r="D286" s="7" t="s">
        <v>450</v>
      </c>
      <c r="E286" s="7" t="s">
        <v>248</v>
      </c>
      <c r="F286" s="8" t="s">
        <v>5</v>
      </c>
      <c r="G286" s="7" t="s">
        <v>130</v>
      </c>
      <c r="H286" s="7" t="s">
        <v>428</v>
      </c>
      <c r="I286" s="7" t="s">
        <v>429</v>
      </c>
      <c r="J286" s="9" t="s">
        <v>9</v>
      </c>
    </row>
    <row r="287" customFormat="false" ht="23.85" hidden="false" customHeight="false" outlineLevel="0" collapsed="false">
      <c r="A287" s="7" t="n">
        <v>286</v>
      </c>
      <c r="B287" s="7" t="s">
        <v>14</v>
      </c>
      <c r="C287" s="7" t="n">
        <v>24</v>
      </c>
      <c r="D287" s="7" t="s">
        <v>451</v>
      </c>
      <c r="E287" s="7" t="s">
        <v>248</v>
      </c>
      <c r="F287" s="8" t="s">
        <v>5</v>
      </c>
      <c r="G287" s="7" t="s">
        <v>130</v>
      </c>
      <c r="H287" s="7" t="s">
        <v>428</v>
      </c>
      <c r="I287" s="7" t="s">
        <v>429</v>
      </c>
      <c r="J287" s="9" t="s">
        <v>9</v>
      </c>
    </row>
    <row r="288" customFormat="false" ht="23.85" hidden="false" customHeight="false" outlineLevel="0" collapsed="false">
      <c r="A288" s="7" t="n">
        <v>287</v>
      </c>
      <c r="B288" s="7" t="s">
        <v>14</v>
      </c>
      <c r="C288" s="7" t="n">
        <v>25</v>
      </c>
      <c r="D288" s="7" t="s">
        <v>452</v>
      </c>
      <c r="E288" s="7" t="s">
        <v>248</v>
      </c>
      <c r="F288" s="8" t="s">
        <v>5</v>
      </c>
      <c r="G288" s="7" t="s">
        <v>130</v>
      </c>
      <c r="H288" s="7" t="s">
        <v>428</v>
      </c>
      <c r="I288" s="7" t="s">
        <v>429</v>
      </c>
      <c r="J288" s="9" t="s">
        <v>9</v>
      </c>
    </row>
    <row r="289" customFormat="false" ht="23.85" hidden="false" customHeight="false" outlineLevel="0" collapsed="false">
      <c r="A289" s="7" t="n">
        <v>288</v>
      </c>
      <c r="B289" s="7" t="s">
        <v>14</v>
      </c>
      <c r="C289" s="7" t="n">
        <v>26</v>
      </c>
      <c r="D289" s="7" t="s">
        <v>453</v>
      </c>
      <c r="E289" s="7" t="s">
        <v>248</v>
      </c>
      <c r="F289" s="8" t="s">
        <v>5</v>
      </c>
      <c r="G289" s="7" t="s">
        <v>130</v>
      </c>
      <c r="H289" s="7" t="s">
        <v>428</v>
      </c>
      <c r="I289" s="7" t="s">
        <v>429</v>
      </c>
      <c r="J289" s="9" t="s">
        <v>9</v>
      </c>
    </row>
    <row r="290" customFormat="false" ht="23.85" hidden="false" customHeight="false" outlineLevel="0" collapsed="false">
      <c r="A290" s="7" t="n">
        <v>289</v>
      </c>
      <c r="B290" s="7" t="s">
        <v>14</v>
      </c>
      <c r="C290" s="7" t="n">
        <v>27</v>
      </c>
      <c r="D290" s="7" t="s">
        <v>454</v>
      </c>
      <c r="E290" s="7" t="s">
        <v>248</v>
      </c>
      <c r="F290" s="8" t="s">
        <v>5</v>
      </c>
      <c r="G290" s="7" t="s">
        <v>130</v>
      </c>
      <c r="H290" s="7" t="s">
        <v>428</v>
      </c>
      <c r="I290" s="7" t="s">
        <v>429</v>
      </c>
      <c r="J290" s="9" t="s">
        <v>9</v>
      </c>
    </row>
    <row r="291" customFormat="false" ht="23.85" hidden="false" customHeight="false" outlineLevel="0" collapsed="false">
      <c r="A291" s="7" t="n">
        <v>290</v>
      </c>
      <c r="B291" s="7" t="s">
        <v>14</v>
      </c>
      <c r="C291" s="7" t="n">
        <v>28</v>
      </c>
      <c r="D291" s="7" t="s">
        <v>455</v>
      </c>
      <c r="E291" s="7" t="s">
        <v>248</v>
      </c>
      <c r="F291" s="8" t="s">
        <v>5</v>
      </c>
      <c r="G291" s="7" t="s">
        <v>130</v>
      </c>
      <c r="H291" s="7" t="s">
        <v>428</v>
      </c>
      <c r="I291" s="7" t="s">
        <v>429</v>
      </c>
      <c r="J291" s="9" t="s">
        <v>9</v>
      </c>
    </row>
    <row r="292" customFormat="false" ht="35.05" hidden="false" customHeight="false" outlineLevel="0" collapsed="false">
      <c r="A292" s="7" t="n">
        <v>291</v>
      </c>
      <c r="B292" s="7" t="s">
        <v>14</v>
      </c>
      <c r="C292" s="7"/>
      <c r="D292" s="7" t="s">
        <v>456</v>
      </c>
      <c r="E292" s="7" t="s">
        <v>457</v>
      </c>
      <c r="F292" s="10" t="s">
        <v>6</v>
      </c>
      <c r="G292" s="7" t="s">
        <v>49</v>
      </c>
      <c r="H292" s="7" t="s">
        <v>458</v>
      </c>
      <c r="I292" s="7" t="s">
        <v>459</v>
      </c>
      <c r="J292" s="9" t="s">
        <v>9</v>
      </c>
    </row>
    <row r="293" customFormat="false" ht="35.05" hidden="false" customHeight="false" outlineLevel="0" collapsed="false">
      <c r="A293" s="7" t="n">
        <v>292</v>
      </c>
      <c r="B293" s="7" t="s">
        <v>14</v>
      </c>
      <c r="C293" s="7"/>
      <c r="D293" s="7" t="s">
        <v>460</v>
      </c>
      <c r="E293" s="7" t="s">
        <v>53</v>
      </c>
      <c r="F293" s="10" t="s">
        <v>6</v>
      </c>
      <c r="G293" s="7" t="s">
        <v>54</v>
      </c>
      <c r="H293" s="7" t="s">
        <v>461</v>
      </c>
      <c r="I293" s="7" t="s">
        <v>462</v>
      </c>
      <c r="J293" s="9" t="s">
        <v>9</v>
      </c>
    </row>
    <row r="294" customFormat="false" ht="15" hidden="false" customHeight="false" outlineLevel="0" collapsed="false">
      <c r="A294" s="7" t="n">
        <v>293</v>
      </c>
      <c r="B294" s="7" t="s">
        <v>14</v>
      </c>
      <c r="C294" s="7" t="n">
        <v>5</v>
      </c>
      <c r="D294" s="7" t="s">
        <v>432</v>
      </c>
      <c r="E294" s="7" t="s">
        <v>463</v>
      </c>
      <c r="F294" s="10" t="s">
        <v>6</v>
      </c>
      <c r="G294" s="7" t="s">
        <v>130</v>
      </c>
      <c r="H294" s="7" t="s">
        <v>464</v>
      </c>
      <c r="I294" s="7" t="s">
        <v>465</v>
      </c>
      <c r="J294" s="9" t="s">
        <v>9</v>
      </c>
    </row>
    <row r="295" customFormat="false" ht="15" hidden="false" customHeight="false" outlineLevel="0" collapsed="false">
      <c r="A295" s="7" t="n">
        <v>294</v>
      </c>
      <c r="B295" s="7" t="s">
        <v>14</v>
      </c>
      <c r="C295" s="7" t="n">
        <v>8</v>
      </c>
      <c r="D295" s="7" t="s">
        <v>435</v>
      </c>
      <c r="E295" s="7" t="s">
        <v>463</v>
      </c>
      <c r="F295" s="10" t="s">
        <v>6</v>
      </c>
      <c r="G295" s="7" t="s">
        <v>130</v>
      </c>
      <c r="H295" s="7" t="s">
        <v>464</v>
      </c>
      <c r="I295" s="7" t="s">
        <v>465</v>
      </c>
      <c r="J295" s="9" t="s">
        <v>9</v>
      </c>
    </row>
    <row r="296" customFormat="false" ht="15" hidden="false" customHeight="false" outlineLevel="0" collapsed="false">
      <c r="A296" s="7" t="n">
        <v>295</v>
      </c>
      <c r="B296" s="7" t="s">
        <v>14</v>
      </c>
      <c r="C296" s="7" t="n">
        <v>22</v>
      </c>
      <c r="D296" s="7" t="s">
        <v>449</v>
      </c>
      <c r="E296" s="7" t="s">
        <v>275</v>
      </c>
      <c r="F296" s="10" t="s">
        <v>6</v>
      </c>
      <c r="G296" s="7" t="s">
        <v>54</v>
      </c>
      <c r="H296" s="7" t="s">
        <v>466</v>
      </c>
      <c r="I296" s="7" t="s">
        <v>467</v>
      </c>
      <c r="J296" s="9" t="s">
        <v>9</v>
      </c>
    </row>
    <row r="297" customFormat="false" ht="15" hidden="false" customHeight="false" outlineLevel="0" collapsed="false">
      <c r="A297" s="7" t="n">
        <v>296</v>
      </c>
      <c r="B297" s="7" t="s">
        <v>14</v>
      </c>
      <c r="C297" s="7" t="n">
        <v>23</v>
      </c>
      <c r="D297" s="7" t="s">
        <v>450</v>
      </c>
      <c r="E297" s="7" t="s">
        <v>275</v>
      </c>
      <c r="F297" s="10" t="s">
        <v>6</v>
      </c>
      <c r="G297" s="7" t="s">
        <v>54</v>
      </c>
      <c r="H297" s="7" t="s">
        <v>466</v>
      </c>
      <c r="I297" s="7" t="s">
        <v>467</v>
      </c>
      <c r="J297" s="9" t="s">
        <v>9</v>
      </c>
    </row>
    <row r="298" customFormat="false" ht="15" hidden="false" customHeight="false" outlineLevel="0" collapsed="false">
      <c r="A298" s="7" t="n">
        <v>297</v>
      </c>
      <c r="B298" s="7" t="s">
        <v>14</v>
      </c>
      <c r="C298" s="7" t="n">
        <v>24</v>
      </c>
      <c r="D298" s="7" t="s">
        <v>451</v>
      </c>
      <c r="E298" s="7" t="s">
        <v>275</v>
      </c>
      <c r="F298" s="10" t="s">
        <v>6</v>
      </c>
      <c r="G298" s="7" t="s">
        <v>54</v>
      </c>
      <c r="H298" s="7" t="s">
        <v>466</v>
      </c>
      <c r="I298" s="7" t="s">
        <v>467</v>
      </c>
      <c r="J298" s="9" t="s">
        <v>9</v>
      </c>
    </row>
    <row r="299" customFormat="false" ht="15" hidden="false" customHeight="false" outlineLevel="0" collapsed="false">
      <c r="A299" s="7" t="n">
        <v>298</v>
      </c>
      <c r="B299" s="7" t="s">
        <v>14</v>
      </c>
      <c r="C299" s="7" t="n">
        <v>25</v>
      </c>
      <c r="D299" s="7" t="s">
        <v>452</v>
      </c>
      <c r="E299" s="7" t="s">
        <v>275</v>
      </c>
      <c r="F299" s="10" t="s">
        <v>6</v>
      </c>
      <c r="G299" s="7" t="s">
        <v>54</v>
      </c>
      <c r="H299" s="7" t="s">
        <v>466</v>
      </c>
      <c r="I299" s="7" t="s">
        <v>467</v>
      </c>
      <c r="J299" s="9" t="s">
        <v>9</v>
      </c>
    </row>
    <row r="300" customFormat="false" ht="15" hidden="false" customHeight="false" outlineLevel="0" collapsed="false">
      <c r="A300" s="7" t="n">
        <v>299</v>
      </c>
      <c r="B300" s="7" t="s">
        <v>14</v>
      </c>
      <c r="C300" s="7" t="n">
        <v>26</v>
      </c>
      <c r="D300" s="7" t="s">
        <v>453</v>
      </c>
      <c r="E300" s="7" t="s">
        <v>275</v>
      </c>
      <c r="F300" s="10" t="s">
        <v>6</v>
      </c>
      <c r="G300" s="7" t="s">
        <v>54</v>
      </c>
      <c r="H300" s="7" t="s">
        <v>466</v>
      </c>
      <c r="I300" s="7" t="s">
        <v>467</v>
      </c>
      <c r="J300" s="9" t="s">
        <v>9</v>
      </c>
    </row>
    <row r="301" customFormat="false" ht="15" hidden="false" customHeight="false" outlineLevel="0" collapsed="false">
      <c r="A301" s="7" t="n">
        <v>300</v>
      </c>
      <c r="B301" s="7" t="s">
        <v>14</v>
      </c>
      <c r="C301" s="7" t="n">
        <v>27</v>
      </c>
      <c r="D301" s="7" t="s">
        <v>454</v>
      </c>
      <c r="E301" s="7" t="s">
        <v>275</v>
      </c>
      <c r="F301" s="10" t="s">
        <v>6</v>
      </c>
      <c r="G301" s="7" t="s">
        <v>54</v>
      </c>
      <c r="H301" s="7" t="s">
        <v>466</v>
      </c>
      <c r="I301" s="7" t="s">
        <v>467</v>
      </c>
      <c r="J301" s="9" t="s">
        <v>9</v>
      </c>
    </row>
    <row r="302" customFormat="false" ht="15" hidden="false" customHeight="false" outlineLevel="0" collapsed="false">
      <c r="A302" s="7" t="n">
        <v>301</v>
      </c>
      <c r="B302" s="7" t="s">
        <v>14</v>
      </c>
      <c r="C302" s="7" t="n">
        <v>28</v>
      </c>
      <c r="D302" s="7" t="s">
        <v>455</v>
      </c>
      <c r="E302" s="7" t="s">
        <v>275</v>
      </c>
      <c r="F302" s="10" t="s">
        <v>6</v>
      </c>
      <c r="G302" s="7" t="s">
        <v>54</v>
      </c>
      <c r="H302" s="7" t="s">
        <v>466</v>
      </c>
      <c r="I302" s="7" t="s">
        <v>467</v>
      </c>
      <c r="J302" s="9" t="s">
        <v>9</v>
      </c>
    </row>
    <row r="303" customFormat="false" ht="23.85" hidden="false" customHeight="false" outlineLevel="0" collapsed="false">
      <c r="A303" s="7" t="n">
        <v>302</v>
      </c>
      <c r="B303" s="7" t="s">
        <v>15</v>
      </c>
      <c r="C303" s="7"/>
      <c r="D303" s="7" t="s">
        <v>39</v>
      </c>
      <c r="E303" s="7" t="s">
        <v>40</v>
      </c>
      <c r="F303" s="8" t="s">
        <v>5</v>
      </c>
      <c r="G303" s="7" t="s">
        <v>41</v>
      </c>
      <c r="H303" s="7" t="s">
        <v>42</v>
      </c>
      <c r="I303" s="7" t="s">
        <v>43</v>
      </c>
      <c r="J303" s="9" t="s">
        <v>9</v>
      </c>
    </row>
    <row r="304" customFormat="false" ht="23.85" hidden="false" customHeight="false" outlineLevel="0" collapsed="false">
      <c r="A304" s="7" t="n">
        <v>303</v>
      </c>
      <c r="B304" s="7" t="s">
        <v>15</v>
      </c>
      <c r="C304" s="7"/>
      <c r="D304" s="7" t="s">
        <v>39</v>
      </c>
      <c r="E304" s="7" t="s">
        <v>44</v>
      </c>
      <c r="F304" s="8" t="s">
        <v>5</v>
      </c>
      <c r="G304" s="7" t="s">
        <v>41</v>
      </c>
      <c r="H304" s="7" t="s">
        <v>45</v>
      </c>
      <c r="I304" s="7" t="s">
        <v>46</v>
      </c>
      <c r="J304" s="9" t="s">
        <v>9</v>
      </c>
    </row>
    <row r="305" customFormat="false" ht="23.85" hidden="false" customHeight="false" outlineLevel="0" collapsed="false">
      <c r="A305" s="7" t="n">
        <v>304</v>
      </c>
      <c r="B305" s="7" t="s">
        <v>15</v>
      </c>
      <c r="C305" s="7" t="n">
        <v>26</v>
      </c>
      <c r="D305" s="7" t="s">
        <v>468</v>
      </c>
      <c r="E305" s="7" t="s">
        <v>469</v>
      </c>
      <c r="F305" s="8" t="s">
        <v>5</v>
      </c>
      <c r="G305" s="7" t="s">
        <v>49</v>
      </c>
      <c r="H305" s="7" t="s">
        <v>470</v>
      </c>
      <c r="I305" s="7" t="s">
        <v>471</v>
      </c>
      <c r="J305" s="9" t="s">
        <v>9</v>
      </c>
    </row>
    <row r="306" customFormat="false" ht="23.85" hidden="false" customHeight="false" outlineLevel="0" collapsed="false">
      <c r="A306" s="7" t="n">
        <v>305</v>
      </c>
      <c r="B306" s="7" t="s">
        <v>15</v>
      </c>
      <c r="C306" s="7" t="n">
        <v>27</v>
      </c>
      <c r="D306" s="7" t="s">
        <v>472</v>
      </c>
      <c r="E306" s="7" t="s">
        <v>469</v>
      </c>
      <c r="F306" s="8" t="s">
        <v>5</v>
      </c>
      <c r="G306" s="7" t="s">
        <v>49</v>
      </c>
      <c r="H306" s="7" t="s">
        <v>470</v>
      </c>
      <c r="I306" s="7" t="s">
        <v>471</v>
      </c>
      <c r="J306" s="9" t="s">
        <v>9</v>
      </c>
    </row>
    <row r="307" customFormat="false" ht="23.85" hidden="false" customHeight="false" outlineLevel="0" collapsed="false">
      <c r="A307" s="7" t="n">
        <v>306</v>
      </c>
      <c r="B307" s="7" t="s">
        <v>15</v>
      </c>
      <c r="C307" s="7" t="n">
        <v>28</v>
      </c>
      <c r="D307" s="7" t="s">
        <v>473</v>
      </c>
      <c r="E307" s="7" t="s">
        <v>469</v>
      </c>
      <c r="F307" s="8" t="s">
        <v>5</v>
      </c>
      <c r="G307" s="7" t="s">
        <v>49</v>
      </c>
      <c r="H307" s="7" t="s">
        <v>470</v>
      </c>
      <c r="I307" s="7" t="s">
        <v>471</v>
      </c>
      <c r="J307" s="9" t="s">
        <v>9</v>
      </c>
    </row>
    <row r="308" customFormat="false" ht="23.85" hidden="false" customHeight="false" outlineLevel="0" collapsed="false">
      <c r="A308" s="7" t="n">
        <v>307</v>
      </c>
      <c r="B308" s="7" t="s">
        <v>15</v>
      </c>
      <c r="C308" s="7" t="n">
        <v>32</v>
      </c>
      <c r="D308" s="7" t="s">
        <v>474</v>
      </c>
      <c r="E308" s="7" t="s">
        <v>469</v>
      </c>
      <c r="F308" s="8" t="s">
        <v>5</v>
      </c>
      <c r="G308" s="7" t="s">
        <v>49</v>
      </c>
      <c r="H308" s="7" t="s">
        <v>470</v>
      </c>
      <c r="I308" s="7" t="s">
        <v>471</v>
      </c>
      <c r="J308" s="9" t="s">
        <v>9</v>
      </c>
    </row>
    <row r="309" customFormat="false" ht="23.85" hidden="false" customHeight="false" outlineLevel="0" collapsed="false">
      <c r="A309" s="7" t="n">
        <v>308</v>
      </c>
      <c r="B309" s="7" t="s">
        <v>15</v>
      </c>
      <c r="C309" s="7" t="n">
        <v>33</v>
      </c>
      <c r="D309" s="7" t="s">
        <v>475</v>
      </c>
      <c r="E309" s="7" t="s">
        <v>469</v>
      </c>
      <c r="F309" s="8" t="s">
        <v>5</v>
      </c>
      <c r="G309" s="7" t="s">
        <v>49</v>
      </c>
      <c r="H309" s="7" t="s">
        <v>470</v>
      </c>
      <c r="I309" s="7" t="s">
        <v>471</v>
      </c>
      <c r="J309" s="9" t="s">
        <v>9</v>
      </c>
    </row>
    <row r="310" customFormat="false" ht="23.85" hidden="false" customHeight="false" outlineLevel="0" collapsed="false">
      <c r="A310" s="7" t="n">
        <v>309</v>
      </c>
      <c r="B310" s="7" t="s">
        <v>15</v>
      </c>
      <c r="C310" s="7" t="n">
        <v>34</v>
      </c>
      <c r="D310" s="7" t="s">
        <v>476</v>
      </c>
      <c r="E310" s="7" t="s">
        <v>469</v>
      </c>
      <c r="F310" s="8" t="s">
        <v>5</v>
      </c>
      <c r="G310" s="7" t="s">
        <v>49</v>
      </c>
      <c r="H310" s="7" t="s">
        <v>470</v>
      </c>
      <c r="I310" s="7" t="s">
        <v>471</v>
      </c>
      <c r="J310" s="9" t="s">
        <v>9</v>
      </c>
    </row>
    <row r="311" customFormat="false" ht="23.85" hidden="false" customHeight="false" outlineLevel="0" collapsed="false">
      <c r="A311" s="7" t="n">
        <v>310</v>
      </c>
      <c r="B311" s="7" t="s">
        <v>15</v>
      </c>
      <c r="C311" s="7" t="n">
        <v>35</v>
      </c>
      <c r="D311" s="7" t="s">
        <v>477</v>
      </c>
      <c r="E311" s="7" t="s">
        <v>469</v>
      </c>
      <c r="F311" s="8" t="s">
        <v>5</v>
      </c>
      <c r="G311" s="7" t="s">
        <v>49</v>
      </c>
      <c r="H311" s="7" t="s">
        <v>470</v>
      </c>
      <c r="I311" s="7" t="s">
        <v>471</v>
      </c>
      <c r="J311" s="9" t="s">
        <v>9</v>
      </c>
    </row>
    <row r="312" customFormat="false" ht="23.85" hidden="false" customHeight="false" outlineLevel="0" collapsed="false">
      <c r="A312" s="7" t="n">
        <v>311</v>
      </c>
      <c r="B312" s="7" t="s">
        <v>15</v>
      </c>
      <c r="C312" s="7" t="n">
        <v>36</v>
      </c>
      <c r="D312" s="7" t="s">
        <v>478</v>
      </c>
      <c r="E312" s="7" t="s">
        <v>469</v>
      </c>
      <c r="F312" s="8" t="s">
        <v>5</v>
      </c>
      <c r="G312" s="7" t="s">
        <v>49</v>
      </c>
      <c r="H312" s="7" t="s">
        <v>470</v>
      </c>
      <c r="I312" s="7" t="s">
        <v>471</v>
      </c>
      <c r="J312" s="9" t="s">
        <v>9</v>
      </c>
    </row>
    <row r="313" customFormat="false" ht="23.85" hidden="false" customHeight="false" outlineLevel="0" collapsed="false">
      <c r="A313" s="7" t="n">
        <v>312</v>
      </c>
      <c r="B313" s="7" t="s">
        <v>15</v>
      </c>
      <c r="C313" s="7" t="n">
        <v>37</v>
      </c>
      <c r="D313" s="7" t="s">
        <v>479</v>
      </c>
      <c r="E313" s="7" t="s">
        <v>469</v>
      </c>
      <c r="F313" s="8" t="s">
        <v>5</v>
      </c>
      <c r="G313" s="7" t="s">
        <v>49</v>
      </c>
      <c r="H313" s="7" t="s">
        <v>470</v>
      </c>
      <c r="I313" s="7" t="s">
        <v>471</v>
      </c>
      <c r="J313" s="9" t="s">
        <v>9</v>
      </c>
    </row>
    <row r="314" customFormat="false" ht="23.85" hidden="false" customHeight="false" outlineLevel="0" collapsed="false">
      <c r="A314" s="7" t="n">
        <v>313</v>
      </c>
      <c r="B314" s="7" t="s">
        <v>15</v>
      </c>
      <c r="C314" s="7" t="n">
        <v>38</v>
      </c>
      <c r="D314" s="7" t="s">
        <v>480</v>
      </c>
      <c r="E314" s="7" t="s">
        <v>469</v>
      </c>
      <c r="F314" s="8" t="s">
        <v>5</v>
      </c>
      <c r="G314" s="7" t="s">
        <v>49</v>
      </c>
      <c r="H314" s="7" t="s">
        <v>470</v>
      </c>
      <c r="I314" s="7" t="s">
        <v>471</v>
      </c>
      <c r="J314" s="9" t="s">
        <v>9</v>
      </c>
    </row>
    <row r="315" customFormat="false" ht="23.85" hidden="false" customHeight="false" outlineLevel="0" collapsed="false">
      <c r="A315" s="7" t="n">
        <v>314</v>
      </c>
      <c r="B315" s="7" t="s">
        <v>15</v>
      </c>
      <c r="C315" s="7" t="n">
        <v>41</v>
      </c>
      <c r="D315" s="7" t="s">
        <v>481</v>
      </c>
      <c r="E315" s="7" t="s">
        <v>469</v>
      </c>
      <c r="F315" s="8" t="s">
        <v>5</v>
      </c>
      <c r="G315" s="7" t="s">
        <v>49</v>
      </c>
      <c r="H315" s="7" t="s">
        <v>470</v>
      </c>
      <c r="I315" s="7" t="s">
        <v>471</v>
      </c>
      <c r="J315" s="9" t="s">
        <v>9</v>
      </c>
    </row>
    <row r="316" customFormat="false" ht="23.85" hidden="false" customHeight="false" outlineLevel="0" collapsed="false">
      <c r="A316" s="7" t="n">
        <v>315</v>
      </c>
      <c r="B316" s="7" t="s">
        <v>15</v>
      </c>
      <c r="C316" s="7" t="n">
        <v>42</v>
      </c>
      <c r="D316" s="7" t="s">
        <v>482</v>
      </c>
      <c r="E316" s="7" t="s">
        <v>469</v>
      </c>
      <c r="F316" s="8" t="s">
        <v>5</v>
      </c>
      <c r="G316" s="7" t="s">
        <v>49</v>
      </c>
      <c r="H316" s="7" t="s">
        <v>470</v>
      </c>
      <c r="I316" s="7" t="s">
        <v>471</v>
      </c>
      <c r="J316" s="9" t="s">
        <v>9</v>
      </c>
    </row>
    <row r="317" customFormat="false" ht="23.85" hidden="false" customHeight="false" outlineLevel="0" collapsed="false">
      <c r="A317" s="7" t="n">
        <v>316</v>
      </c>
      <c r="B317" s="7" t="s">
        <v>15</v>
      </c>
      <c r="C317" s="7" t="n">
        <v>43</v>
      </c>
      <c r="D317" s="7" t="s">
        <v>483</v>
      </c>
      <c r="E317" s="7" t="s">
        <v>469</v>
      </c>
      <c r="F317" s="8" t="s">
        <v>5</v>
      </c>
      <c r="G317" s="7" t="s">
        <v>49</v>
      </c>
      <c r="H317" s="7" t="s">
        <v>470</v>
      </c>
      <c r="I317" s="7" t="s">
        <v>471</v>
      </c>
      <c r="J317" s="9" t="s">
        <v>9</v>
      </c>
    </row>
    <row r="318" customFormat="false" ht="23.85" hidden="false" customHeight="false" outlineLevel="0" collapsed="false">
      <c r="A318" s="7" t="n">
        <v>317</v>
      </c>
      <c r="B318" s="7" t="s">
        <v>15</v>
      </c>
      <c r="C318" s="7" t="n">
        <v>44</v>
      </c>
      <c r="D318" s="7" t="s">
        <v>484</v>
      </c>
      <c r="E318" s="7" t="s">
        <v>469</v>
      </c>
      <c r="F318" s="8" t="s">
        <v>5</v>
      </c>
      <c r="G318" s="7" t="s">
        <v>49</v>
      </c>
      <c r="H318" s="7" t="s">
        <v>470</v>
      </c>
      <c r="I318" s="7" t="s">
        <v>471</v>
      </c>
      <c r="J318" s="9" t="s">
        <v>9</v>
      </c>
    </row>
    <row r="319" customFormat="false" ht="23.85" hidden="false" customHeight="false" outlineLevel="0" collapsed="false">
      <c r="A319" s="7" t="n">
        <v>318</v>
      </c>
      <c r="B319" s="7" t="s">
        <v>15</v>
      </c>
      <c r="C319" s="7" t="n">
        <v>45</v>
      </c>
      <c r="D319" s="7" t="s">
        <v>485</v>
      </c>
      <c r="E319" s="7" t="s">
        <v>58</v>
      </c>
      <c r="F319" s="8" t="s">
        <v>5</v>
      </c>
      <c r="G319" s="7" t="s">
        <v>58</v>
      </c>
      <c r="H319" s="7" t="s">
        <v>486</v>
      </c>
      <c r="I319" s="7" t="s">
        <v>487</v>
      </c>
      <c r="J319" s="9" t="s">
        <v>9</v>
      </c>
    </row>
    <row r="320" customFormat="false" ht="23.85" hidden="false" customHeight="false" outlineLevel="0" collapsed="false">
      <c r="A320" s="7" t="n">
        <v>319</v>
      </c>
      <c r="B320" s="7" t="s">
        <v>15</v>
      </c>
      <c r="C320" s="7" t="n">
        <v>46</v>
      </c>
      <c r="D320" s="7" t="s">
        <v>488</v>
      </c>
      <c r="E320" s="7" t="s">
        <v>469</v>
      </c>
      <c r="F320" s="8" t="s">
        <v>5</v>
      </c>
      <c r="G320" s="7" t="s">
        <v>49</v>
      </c>
      <c r="H320" s="7" t="s">
        <v>470</v>
      </c>
      <c r="I320" s="7" t="s">
        <v>471</v>
      </c>
      <c r="J320" s="9" t="s">
        <v>9</v>
      </c>
    </row>
    <row r="321" customFormat="false" ht="23.85" hidden="false" customHeight="false" outlineLevel="0" collapsed="false">
      <c r="A321" s="7" t="n">
        <v>320</v>
      </c>
      <c r="B321" s="7" t="s">
        <v>15</v>
      </c>
      <c r="C321" s="7" t="n">
        <v>49</v>
      </c>
      <c r="D321" s="7" t="s">
        <v>489</v>
      </c>
      <c r="E321" s="7" t="s">
        <v>134</v>
      </c>
      <c r="F321" s="8" t="s">
        <v>5</v>
      </c>
      <c r="G321" s="7" t="s">
        <v>49</v>
      </c>
      <c r="H321" s="7" t="s">
        <v>490</v>
      </c>
      <c r="I321" s="7" t="s">
        <v>491</v>
      </c>
      <c r="J321" s="9" t="s">
        <v>9</v>
      </c>
    </row>
    <row r="322" customFormat="false" ht="23.85" hidden="false" customHeight="false" outlineLevel="0" collapsed="false">
      <c r="A322" s="7" t="n">
        <v>321</v>
      </c>
      <c r="B322" s="7" t="s">
        <v>15</v>
      </c>
      <c r="C322" s="7" t="n">
        <v>50</v>
      </c>
      <c r="D322" s="7" t="s">
        <v>492</v>
      </c>
      <c r="E322" s="7" t="s">
        <v>134</v>
      </c>
      <c r="F322" s="8" t="s">
        <v>5</v>
      </c>
      <c r="G322" s="7" t="s">
        <v>49</v>
      </c>
      <c r="H322" s="7" t="s">
        <v>490</v>
      </c>
      <c r="I322" s="7" t="s">
        <v>491</v>
      </c>
      <c r="J322" s="9" t="s">
        <v>9</v>
      </c>
    </row>
    <row r="323" customFormat="false" ht="23.85" hidden="false" customHeight="false" outlineLevel="0" collapsed="false">
      <c r="A323" s="7" t="n">
        <v>322</v>
      </c>
      <c r="B323" s="7" t="s">
        <v>15</v>
      </c>
      <c r="C323" s="7" t="n">
        <v>51</v>
      </c>
      <c r="D323" s="7" t="s">
        <v>493</v>
      </c>
      <c r="E323" s="7" t="s">
        <v>134</v>
      </c>
      <c r="F323" s="8" t="s">
        <v>5</v>
      </c>
      <c r="G323" s="7" t="s">
        <v>49</v>
      </c>
      <c r="H323" s="7" t="s">
        <v>490</v>
      </c>
      <c r="I323" s="7" t="s">
        <v>491</v>
      </c>
      <c r="J323" s="9" t="s">
        <v>9</v>
      </c>
    </row>
    <row r="324" customFormat="false" ht="23.85" hidden="false" customHeight="false" outlineLevel="0" collapsed="false">
      <c r="A324" s="7" t="n">
        <v>323</v>
      </c>
      <c r="B324" s="7" t="s">
        <v>15</v>
      </c>
      <c r="C324" s="7" t="n">
        <v>52</v>
      </c>
      <c r="D324" s="7" t="s">
        <v>494</v>
      </c>
      <c r="E324" s="7" t="s">
        <v>134</v>
      </c>
      <c r="F324" s="8" t="s">
        <v>5</v>
      </c>
      <c r="G324" s="7" t="s">
        <v>49</v>
      </c>
      <c r="H324" s="7" t="s">
        <v>490</v>
      </c>
      <c r="I324" s="7" t="s">
        <v>491</v>
      </c>
      <c r="J324" s="9" t="s">
        <v>9</v>
      </c>
    </row>
    <row r="325" customFormat="false" ht="23.85" hidden="false" customHeight="false" outlineLevel="0" collapsed="false">
      <c r="A325" s="7" t="n">
        <v>324</v>
      </c>
      <c r="B325" s="7" t="s">
        <v>15</v>
      </c>
      <c r="C325" s="7" t="n">
        <v>53</v>
      </c>
      <c r="D325" s="7" t="s">
        <v>495</v>
      </c>
      <c r="E325" s="7" t="s">
        <v>134</v>
      </c>
      <c r="F325" s="8" t="s">
        <v>5</v>
      </c>
      <c r="G325" s="7" t="s">
        <v>49</v>
      </c>
      <c r="H325" s="7" t="s">
        <v>490</v>
      </c>
      <c r="I325" s="7" t="s">
        <v>491</v>
      </c>
      <c r="J325" s="9" t="s">
        <v>9</v>
      </c>
    </row>
    <row r="326" customFormat="false" ht="23.85" hidden="false" customHeight="false" outlineLevel="0" collapsed="false">
      <c r="A326" s="7" t="n">
        <v>325</v>
      </c>
      <c r="B326" s="7" t="s">
        <v>15</v>
      </c>
      <c r="C326" s="7" t="n">
        <v>54</v>
      </c>
      <c r="D326" s="7" t="s">
        <v>496</v>
      </c>
      <c r="E326" s="7" t="s">
        <v>134</v>
      </c>
      <c r="F326" s="8" t="s">
        <v>5</v>
      </c>
      <c r="G326" s="7" t="s">
        <v>49</v>
      </c>
      <c r="H326" s="7" t="s">
        <v>490</v>
      </c>
      <c r="I326" s="7" t="s">
        <v>491</v>
      </c>
      <c r="J326" s="9" t="s">
        <v>9</v>
      </c>
    </row>
    <row r="327" customFormat="false" ht="23.85" hidden="false" customHeight="false" outlineLevel="0" collapsed="false">
      <c r="A327" s="7" t="n">
        <v>326</v>
      </c>
      <c r="B327" s="7" t="s">
        <v>15</v>
      </c>
      <c r="C327" s="7" t="n">
        <v>55</v>
      </c>
      <c r="D327" s="7" t="s">
        <v>497</v>
      </c>
      <c r="E327" s="7" t="s">
        <v>134</v>
      </c>
      <c r="F327" s="8" t="s">
        <v>5</v>
      </c>
      <c r="G327" s="7" t="s">
        <v>49</v>
      </c>
      <c r="H327" s="7" t="s">
        <v>490</v>
      </c>
      <c r="I327" s="7" t="s">
        <v>491</v>
      </c>
      <c r="J327" s="9" t="s">
        <v>9</v>
      </c>
    </row>
    <row r="328" customFormat="false" ht="23.85" hidden="false" customHeight="false" outlineLevel="0" collapsed="false">
      <c r="A328" s="7" t="n">
        <v>327</v>
      </c>
      <c r="B328" s="7" t="s">
        <v>15</v>
      </c>
      <c r="C328" s="7" t="n">
        <v>56</v>
      </c>
      <c r="D328" s="7" t="s">
        <v>498</v>
      </c>
      <c r="E328" s="7" t="s">
        <v>134</v>
      </c>
      <c r="F328" s="8" t="s">
        <v>5</v>
      </c>
      <c r="G328" s="7" t="s">
        <v>49</v>
      </c>
      <c r="H328" s="7" t="s">
        <v>490</v>
      </c>
      <c r="I328" s="7" t="s">
        <v>491</v>
      </c>
      <c r="J328" s="9" t="s">
        <v>9</v>
      </c>
    </row>
    <row r="329" customFormat="false" ht="23.85" hidden="false" customHeight="false" outlineLevel="0" collapsed="false">
      <c r="A329" s="7" t="n">
        <v>328</v>
      </c>
      <c r="B329" s="7" t="s">
        <v>15</v>
      </c>
      <c r="C329" s="7" t="n">
        <v>57</v>
      </c>
      <c r="D329" s="7" t="s">
        <v>499</v>
      </c>
      <c r="E329" s="7" t="s">
        <v>134</v>
      </c>
      <c r="F329" s="8" t="s">
        <v>5</v>
      </c>
      <c r="G329" s="7" t="s">
        <v>49</v>
      </c>
      <c r="H329" s="7" t="s">
        <v>490</v>
      </c>
      <c r="I329" s="7" t="s">
        <v>491</v>
      </c>
      <c r="J329" s="9" t="s">
        <v>9</v>
      </c>
    </row>
    <row r="330" customFormat="false" ht="23.85" hidden="false" customHeight="false" outlineLevel="0" collapsed="false">
      <c r="A330" s="7" t="n">
        <v>329</v>
      </c>
      <c r="B330" s="7" t="s">
        <v>15</v>
      </c>
      <c r="C330" s="7" t="n">
        <v>58</v>
      </c>
      <c r="D330" s="7" t="s">
        <v>500</v>
      </c>
      <c r="E330" s="7" t="s">
        <v>134</v>
      </c>
      <c r="F330" s="8" t="s">
        <v>5</v>
      </c>
      <c r="G330" s="7" t="s">
        <v>49</v>
      </c>
      <c r="H330" s="7" t="s">
        <v>490</v>
      </c>
      <c r="I330" s="7" t="s">
        <v>491</v>
      </c>
      <c r="J330" s="9" t="s">
        <v>9</v>
      </c>
    </row>
    <row r="331" customFormat="false" ht="15" hidden="false" customHeight="false" outlineLevel="0" collapsed="false">
      <c r="A331" s="7" t="n">
        <v>330</v>
      </c>
      <c r="B331" s="7" t="s">
        <v>15</v>
      </c>
      <c r="C331" s="7" t="n">
        <v>10</v>
      </c>
      <c r="D331" s="7" t="s">
        <v>501</v>
      </c>
      <c r="E331" s="7" t="s">
        <v>502</v>
      </c>
      <c r="F331" s="10" t="s">
        <v>6</v>
      </c>
      <c r="G331" s="7" t="s">
        <v>86</v>
      </c>
      <c r="H331" s="7" t="s">
        <v>503</v>
      </c>
      <c r="I331" s="7" t="s">
        <v>504</v>
      </c>
      <c r="J331" s="9" t="s">
        <v>9</v>
      </c>
    </row>
    <row r="332" customFormat="false" ht="15" hidden="false" customHeight="false" outlineLevel="0" collapsed="false">
      <c r="A332" s="7" t="n">
        <v>331</v>
      </c>
      <c r="B332" s="7" t="s">
        <v>15</v>
      </c>
      <c r="C332" s="7" t="n">
        <v>11</v>
      </c>
      <c r="D332" s="7" t="s">
        <v>505</v>
      </c>
      <c r="E332" s="7" t="s">
        <v>502</v>
      </c>
      <c r="F332" s="10" t="s">
        <v>6</v>
      </c>
      <c r="G332" s="7" t="s">
        <v>86</v>
      </c>
      <c r="H332" s="7" t="s">
        <v>503</v>
      </c>
      <c r="I332" s="7" t="s">
        <v>504</v>
      </c>
      <c r="J332" s="9" t="s">
        <v>9</v>
      </c>
    </row>
    <row r="333" customFormat="false" ht="15" hidden="false" customHeight="false" outlineLevel="0" collapsed="false">
      <c r="A333" s="7" t="n">
        <v>332</v>
      </c>
      <c r="B333" s="7" t="s">
        <v>15</v>
      </c>
      <c r="C333" s="7" t="n">
        <v>23</v>
      </c>
      <c r="D333" s="7" t="s">
        <v>506</v>
      </c>
      <c r="E333" s="7" t="s">
        <v>502</v>
      </c>
      <c r="F333" s="10" t="s">
        <v>6</v>
      </c>
      <c r="G333" s="7" t="s">
        <v>86</v>
      </c>
      <c r="H333" s="7" t="s">
        <v>503</v>
      </c>
      <c r="I333" s="7" t="s">
        <v>504</v>
      </c>
      <c r="J333" s="9" t="s">
        <v>9</v>
      </c>
    </row>
    <row r="334" customFormat="false" ht="15" hidden="false" customHeight="false" outlineLevel="0" collapsed="false">
      <c r="A334" s="7" t="n">
        <v>333</v>
      </c>
      <c r="B334" s="7" t="s">
        <v>15</v>
      </c>
      <c r="C334" s="7" t="n">
        <v>24</v>
      </c>
      <c r="D334" s="7" t="s">
        <v>507</v>
      </c>
      <c r="E334" s="7" t="s">
        <v>502</v>
      </c>
      <c r="F334" s="10" t="s">
        <v>6</v>
      </c>
      <c r="G334" s="7" t="s">
        <v>86</v>
      </c>
      <c r="H334" s="7" t="s">
        <v>503</v>
      </c>
      <c r="I334" s="7" t="s">
        <v>504</v>
      </c>
      <c r="J334" s="9" t="s">
        <v>9</v>
      </c>
    </row>
    <row r="335" customFormat="false" ht="15" hidden="false" customHeight="false" outlineLevel="0" collapsed="false">
      <c r="A335" s="7" t="n">
        <v>334</v>
      </c>
      <c r="B335" s="7" t="s">
        <v>15</v>
      </c>
      <c r="C335" s="7" t="n">
        <v>30</v>
      </c>
      <c r="D335" s="7" t="s">
        <v>508</v>
      </c>
      <c r="E335" s="7" t="s">
        <v>502</v>
      </c>
      <c r="F335" s="10" t="s">
        <v>6</v>
      </c>
      <c r="G335" s="7" t="s">
        <v>86</v>
      </c>
      <c r="H335" s="7" t="s">
        <v>503</v>
      </c>
      <c r="I335" s="7" t="s">
        <v>504</v>
      </c>
      <c r="J335" s="9" t="s">
        <v>9</v>
      </c>
    </row>
    <row r="336" customFormat="false" ht="15" hidden="false" customHeight="false" outlineLevel="0" collapsed="false">
      <c r="A336" s="7" t="n">
        <v>335</v>
      </c>
      <c r="B336" s="7" t="s">
        <v>15</v>
      </c>
      <c r="C336" s="7" t="n">
        <v>35</v>
      </c>
      <c r="D336" s="7" t="s">
        <v>477</v>
      </c>
      <c r="E336" s="7" t="s">
        <v>502</v>
      </c>
      <c r="F336" s="10" t="s">
        <v>6</v>
      </c>
      <c r="G336" s="7" t="s">
        <v>86</v>
      </c>
      <c r="H336" s="7" t="s">
        <v>503</v>
      </c>
      <c r="I336" s="7" t="s">
        <v>504</v>
      </c>
      <c r="J336" s="9" t="s">
        <v>9</v>
      </c>
    </row>
    <row r="337" customFormat="false" ht="15" hidden="false" customHeight="false" outlineLevel="0" collapsed="false">
      <c r="A337" s="7" t="n">
        <v>336</v>
      </c>
      <c r="B337" s="7" t="s">
        <v>15</v>
      </c>
      <c r="C337" s="7" t="n">
        <v>36</v>
      </c>
      <c r="D337" s="7" t="s">
        <v>478</v>
      </c>
      <c r="E337" s="7" t="s">
        <v>502</v>
      </c>
      <c r="F337" s="10" t="s">
        <v>6</v>
      </c>
      <c r="G337" s="7" t="s">
        <v>86</v>
      </c>
      <c r="H337" s="7" t="s">
        <v>503</v>
      </c>
      <c r="I337" s="7" t="s">
        <v>504</v>
      </c>
      <c r="J337" s="9" t="s">
        <v>9</v>
      </c>
    </row>
    <row r="338" customFormat="false" ht="23.85" hidden="false" customHeight="false" outlineLevel="0" collapsed="false">
      <c r="A338" s="7" t="n">
        <v>337</v>
      </c>
      <c r="B338" s="7" t="s">
        <v>15</v>
      </c>
      <c r="C338" s="7" t="s">
        <v>509</v>
      </c>
      <c r="D338" s="7" t="s">
        <v>510</v>
      </c>
      <c r="E338" s="7" t="s">
        <v>511</v>
      </c>
      <c r="F338" s="10" t="s">
        <v>6</v>
      </c>
      <c r="G338" s="7" t="s">
        <v>94</v>
      </c>
      <c r="H338" s="7" t="s">
        <v>512</v>
      </c>
      <c r="I338" s="7" t="s">
        <v>513</v>
      </c>
      <c r="J338" s="9" t="s">
        <v>9</v>
      </c>
    </row>
    <row r="339" customFormat="false" ht="23.85" hidden="false" customHeight="false" outlineLevel="0" collapsed="false">
      <c r="A339" s="7" t="n">
        <v>338</v>
      </c>
      <c r="B339" s="7" t="s">
        <v>15</v>
      </c>
      <c r="C339" s="7"/>
      <c r="D339" s="7" t="s">
        <v>39</v>
      </c>
      <c r="E339" s="7" t="s">
        <v>347</v>
      </c>
      <c r="F339" s="11" t="s">
        <v>7</v>
      </c>
      <c r="G339" s="7" t="s">
        <v>130</v>
      </c>
      <c r="H339" s="7" t="s">
        <v>514</v>
      </c>
      <c r="I339" s="7" t="s">
        <v>515</v>
      </c>
      <c r="J339" s="9" t="s">
        <v>9</v>
      </c>
    </row>
    <row r="340" customFormat="false" ht="23.85" hidden="false" customHeight="false" outlineLevel="0" collapsed="false">
      <c r="A340" s="7" t="n">
        <v>339</v>
      </c>
      <c r="B340" s="7" t="s">
        <v>16</v>
      </c>
      <c r="C340" s="7"/>
      <c r="D340" s="7" t="s">
        <v>39</v>
      </c>
      <c r="E340" s="7" t="s">
        <v>40</v>
      </c>
      <c r="F340" s="8" t="s">
        <v>5</v>
      </c>
      <c r="G340" s="7" t="s">
        <v>41</v>
      </c>
      <c r="H340" s="7" t="s">
        <v>42</v>
      </c>
      <c r="I340" s="7" t="s">
        <v>43</v>
      </c>
      <c r="J340" s="9" t="s">
        <v>9</v>
      </c>
    </row>
    <row r="341" customFormat="false" ht="23.85" hidden="false" customHeight="false" outlineLevel="0" collapsed="false">
      <c r="A341" s="7" t="n">
        <v>340</v>
      </c>
      <c r="B341" s="7" t="s">
        <v>16</v>
      </c>
      <c r="C341" s="7" t="n">
        <v>11</v>
      </c>
      <c r="D341" s="7" t="s">
        <v>516</v>
      </c>
      <c r="E341" s="7" t="s">
        <v>58</v>
      </c>
      <c r="F341" s="8" t="s">
        <v>5</v>
      </c>
      <c r="G341" s="7" t="s">
        <v>58</v>
      </c>
      <c r="H341" s="7" t="s">
        <v>292</v>
      </c>
      <c r="I341" s="7" t="s">
        <v>517</v>
      </c>
      <c r="J341" s="9" t="s">
        <v>9</v>
      </c>
    </row>
    <row r="342" customFormat="false" ht="23.85" hidden="false" customHeight="false" outlineLevel="0" collapsed="false">
      <c r="A342" s="7" t="n">
        <v>341</v>
      </c>
      <c r="B342" s="7" t="s">
        <v>16</v>
      </c>
      <c r="C342" s="7" t="n">
        <v>12</v>
      </c>
      <c r="D342" s="7" t="s">
        <v>518</v>
      </c>
      <c r="E342" s="7" t="s">
        <v>58</v>
      </c>
      <c r="F342" s="8" t="s">
        <v>5</v>
      </c>
      <c r="G342" s="7" t="s">
        <v>58</v>
      </c>
      <c r="H342" s="7" t="s">
        <v>519</v>
      </c>
      <c r="I342" s="7" t="s">
        <v>520</v>
      </c>
      <c r="J342" s="9" t="s">
        <v>9</v>
      </c>
    </row>
    <row r="343" customFormat="false" ht="15" hidden="false" customHeight="false" outlineLevel="0" collapsed="false">
      <c r="A343" s="7" t="n">
        <v>342</v>
      </c>
      <c r="B343" s="7" t="s">
        <v>16</v>
      </c>
      <c r="C343" s="7" t="n">
        <v>34</v>
      </c>
      <c r="D343" s="7" t="s">
        <v>521</v>
      </c>
      <c r="E343" s="7" t="s">
        <v>522</v>
      </c>
      <c r="F343" s="10" t="s">
        <v>6</v>
      </c>
      <c r="G343" s="7" t="s">
        <v>130</v>
      </c>
      <c r="H343" s="7" t="s">
        <v>523</v>
      </c>
      <c r="I343" s="7" t="s">
        <v>524</v>
      </c>
      <c r="J343" s="9" t="s">
        <v>9</v>
      </c>
    </row>
    <row r="344" customFormat="false" ht="15" hidden="false" customHeight="false" outlineLevel="0" collapsed="false">
      <c r="A344" s="7" t="n">
        <v>343</v>
      </c>
      <c r="B344" s="7" t="s">
        <v>16</v>
      </c>
      <c r="C344" s="7" t="n">
        <v>35</v>
      </c>
      <c r="D344" s="7" t="s">
        <v>525</v>
      </c>
      <c r="E344" s="7" t="s">
        <v>522</v>
      </c>
      <c r="F344" s="10" t="s">
        <v>6</v>
      </c>
      <c r="G344" s="7" t="s">
        <v>130</v>
      </c>
      <c r="H344" s="7" t="s">
        <v>523</v>
      </c>
      <c r="I344" s="7" t="s">
        <v>524</v>
      </c>
      <c r="J344" s="9" t="s">
        <v>9</v>
      </c>
    </row>
    <row r="345" customFormat="false" ht="15" hidden="false" customHeight="false" outlineLevel="0" collapsed="false">
      <c r="A345" s="7" t="n">
        <v>344</v>
      </c>
      <c r="B345" s="7" t="s">
        <v>16</v>
      </c>
      <c r="C345" s="7" t="n">
        <v>36</v>
      </c>
      <c r="D345" s="7" t="s">
        <v>526</v>
      </c>
      <c r="E345" s="7" t="s">
        <v>522</v>
      </c>
      <c r="F345" s="10" t="s">
        <v>6</v>
      </c>
      <c r="G345" s="7" t="s">
        <v>130</v>
      </c>
      <c r="H345" s="7" t="s">
        <v>523</v>
      </c>
      <c r="I345" s="7" t="s">
        <v>524</v>
      </c>
      <c r="J345" s="9" t="s">
        <v>9</v>
      </c>
    </row>
    <row r="346" customFormat="false" ht="15" hidden="false" customHeight="false" outlineLevel="0" collapsed="false">
      <c r="A346" s="7" t="n">
        <v>345</v>
      </c>
      <c r="B346" s="7" t="s">
        <v>16</v>
      </c>
      <c r="C346" s="7" t="n">
        <v>37</v>
      </c>
      <c r="D346" s="7" t="s">
        <v>527</v>
      </c>
      <c r="E346" s="7" t="s">
        <v>522</v>
      </c>
      <c r="F346" s="10" t="s">
        <v>6</v>
      </c>
      <c r="G346" s="7" t="s">
        <v>130</v>
      </c>
      <c r="H346" s="7" t="s">
        <v>523</v>
      </c>
      <c r="I346" s="7" t="s">
        <v>524</v>
      </c>
      <c r="J346" s="9" t="s">
        <v>9</v>
      </c>
    </row>
    <row r="347" customFormat="false" ht="15" hidden="false" customHeight="false" outlineLevel="0" collapsed="false">
      <c r="A347" s="7" t="n">
        <v>346</v>
      </c>
      <c r="B347" s="7" t="s">
        <v>16</v>
      </c>
      <c r="C347" s="7" t="n">
        <v>30</v>
      </c>
      <c r="D347" s="7" t="s">
        <v>528</v>
      </c>
      <c r="E347" s="7" t="s">
        <v>529</v>
      </c>
      <c r="F347" s="11" t="s">
        <v>7</v>
      </c>
      <c r="G347" s="7" t="s">
        <v>130</v>
      </c>
      <c r="H347" s="7" t="s">
        <v>272</v>
      </c>
      <c r="I347" s="7" t="s">
        <v>273</v>
      </c>
      <c r="J347" s="9" t="s">
        <v>9</v>
      </c>
    </row>
    <row r="348" customFormat="false" ht="15" hidden="false" customHeight="false" outlineLevel="0" collapsed="false">
      <c r="A348" s="7" t="n">
        <v>347</v>
      </c>
      <c r="B348" s="7" t="s">
        <v>16</v>
      </c>
      <c r="C348" s="7" t="n">
        <v>38</v>
      </c>
      <c r="D348" s="7" t="s">
        <v>530</v>
      </c>
      <c r="E348" s="7" t="s">
        <v>529</v>
      </c>
      <c r="F348" s="11" t="s">
        <v>7</v>
      </c>
      <c r="G348" s="7" t="s">
        <v>130</v>
      </c>
      <c r="H348" s="7" t="s">
        <v>272</v>
      </c>
      <c r="I348" s="7" t="s">
        <v>273</v>
      </c>
      <c r="J348" s="9" t="s">
        <v>9</v>
      </c>
    </row>
    <row r="349" customFormat="false" ht="15" hidden="false" customHeight="false" outlineLevel="0" collapsed="false">
      <c r="A349" s="7" t="n">
        <v>348</v>
      </c>
      <c r="B349" s="7" t="s">
        <v>16</v>
      </c>
      <c r="C349" s="7" t="n">
        <v>39</v>
      </c>
      <c r="D349" s="7" t="s">
        <v>531</v>
      </c>
      <c r="E349" s="7" t="s">
        <v>529</v>
      </c>
      <c r="F349" s="11" t="s">
        <v>7</v>
      </c>
      <c r="G349" s="7" t="s">
        <v>130</v>
      </c>
      <c r="H349" s="7" t="s">
        <v>272</v>
      </c>
      <c r="I349" s="7" t="s">
        <v>273</v>
      </c>
      <c r="J349" s="9" t="s">
        <v>9</v>
      </c>
    </row>
  </sheetData>
  <autoFilter ref="A1:J349"/>
  <dataValidations count="1">
    <dataValidation allowBlank="true" errorStyle="stop" operator="between" showDropDown="false" showErrorMessage="false" showInputMessage="false" sqref="J2:J349" type="list">
      <formula1>"Open,Fixed,Won't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7" min="6" style="0" width="34"/>
    <col collapsed="false" customWidth="true" hidden="false" outlineLevel="0" max="8" min="8" style="0" width="60"/>
  </cols>
  <sheetData>
    <row r="1" customFormat="false" ht="23.85" hidden="false" customHeight="false" outlineLevel="0" collapsed="false">
      <c r="A1" s="4" t="s">
        <v>3</v>
      </c>
      <c r="B1" s="4" t="s">
        <v>532</v>
      </c>
      <c r="C1" s="4" t="s">
        <v>533</v>
      </c>
      <c r="D1" s="4" t="s">
        <v>534</v>
      </c>
      <c r="E1" s="4" t="s">
        <v>535</v>
      </c>
      <c r="F1" s="4" t="s">
        <v>536</v>
      </c>
      <c r="G1" s="4" t="s">
        <v>18</v>
      </c>
      <c r="H1" s="4" t="s">
        <v>537</v>
      </c>
    </row>
    <row r="2" customFormat="false" ht="23.85" hidden="false" customHeight="false" outlineLevel="0" collapsed="false">
      <c r="A2" s="7" t="s">
        <v>13</v>
      </c>
      <c r="B2" s="7" t="s">
        <v>538</v>
      </c>
      <c r="C2" s="8" t="s">
        <v>539</v>
      </c>
      <c r="D2" s="7" t="s">
        <v>540</v>
      </c>
      <c r="E2" s="7"/>
      <c r="F2" s="7" t="s">
        <v>541</v>
      </c>
      <c r="G2" s="7" t="s">
        <v>542</v>
      </c>
      <c r="H2" s="12" t="s">
        <v>543</v>
      </c>
    </row>
    <row r="3" customFormat="false" ht="15" hidden="false" customHeight="false" outlineLevel="0" collapsed="false">
      <c r="A3" s="7" t="s">
        <v>13</v>
      </c>
      <c r="B3" s="7" t="s">
        <v>544</v>
      </c>
      <c r="C3" s="8" t="s">
        <v>539</v>
      </c>
      <c r="D3" s="7" t="s">
        <v>540</v>
      </c>
      <c r="E3" s="7"/>
      <c r="F3" s="7" t="s">
        <v>545</v>
      </c>
      <c r="G3" s="7" t="s">
        <v>542</v>
      </c>
      <c r="H3" s="12" t="s">
        <v>546</v>
      </c>
    </row>
    <row r="4" customFormat="false" ht="23.85" hidden="false" customHeight="false" outlineLevel="0" collapsed="false">
      <c r="A4" s="7" t="s">
        <v>13</v>
      </c>
      <c r="B4" s="7" t="s">
        <v>547</v>
      </c>
      <c r="C4" s="8" t="s">
        <v>539</v>
      </c>
      <c r="D4" s="7" t="s">
        <v>540</v>
      </c>
      <c r="E4" s="7"/>
      <c r="F4" s="7" t="s">
        <v>548</v>
      </c>
      <c r="G4" s="7" t="s">
        <v>542</v>
      </c>
      <c r="H4" s="12" t="s">
        <v>549</v>
      </c>
    </row>
    <row r="5" customFormat="false" ht="23.85" hidden="false" customHeight="false" outlineLevel="0" collapsed="false">
      <c r="A5" s="7" t="s">
        <v>13</v>
      </c>
      <c r="B5" s="7" t="s">
        <v>550</v>
      </c>
      <c r="C5" s="8" t="s">
        <v>539</v>
      </c>
      <c r="D5" s="7" t="s">
        <v>540</v>
      </c>
      <c r="E5" s="7"/>
      <c r="F5" s="7" t="s">
        <v>551</v>
      </c>
      <c r="G5" s="7" t="s">
        <v>542</v>
      </c>
      <c r="H5" s="12" t="s">
        <v>552</v>
      </c>
    </row>
    <row r="6" customFormat="false" ht="15" hidden="false" customHeight="false" outlineLevel="0" collapsed="false">
      <c r="A6" s="7" t="s">
        <v>13</v>
      </c>
      <c r="B6" s="7" t="s">
        <v>553</v>
      </c>
      <c r="C6" s="10" t="s">
        <v>554</v>
      </c>
      <c r="D6" s="7" t="s">
        <v>555</v>
      </c>
      <c r="E6" s="7" t="s">
        <v>556</v>
      </c>
      <c r="F6" s="7" t="s">
        <v>557</v>
      </c>
      <c r="G6" s="7" t="s">
        <v>558</v>
      </c>
      <c r="H6" s="12" t="s">
        <v>559</v>
      </c>
    </row>
    <row r="7" customFormat="false" ht="15" hidden="false" customHeight="false" outlineLevel="0" collapsed="false">
      <c r="A7" s="7" t="s">
        <v>13</v>
      </c>
      <c r="B7" s="7" t="s">
        <v>308</v>
      </c>
      <c r="C7" s="10" t="s">
        <v>554</v>
      </c>
      <c r="D7" s="7" t="s">
        <v>555</v>
      </c>
      <c r="E7" s="7" t="s">
        <v>556</v>
      </c>
      <c r="F7" s="7" t="s">
        <v>560</v>
      </c>
      <c r="G7" s="7" t="s">
        <v>558</v>
      </c>
      <c r="H7" s="12" t="s">
        <v>559</v>
      </c>
    </row>
    <row r="8" customFormat="false" ht="15" hidden="false" customHeight="false" outlineLevel="0" collapsed="false">
      <c r="A8" s="7" t="s">
        <v>13</v>
      </c>
      <c r="B8" s="7" t="s">
        <v>561</v>
      </c>
      <c r="C8" s="10" t="s">
        <v>554</v>
      </c>
      <c r="D8" s="7" t="s">
        <v>555</v>
      </c>
      <c r="E8" s="7"/>
      <c r="F8" s="7" t="s">
        <v>562</v>
      </c>
      <c r="G8" s="7" t="s">
        <v>558</v>
      </c>
      <c r="H8" s="12" t="s">
        <v>563</v>
      </c>
    </row>
    <row r="9" customFormat="false" ht="15" hidden="false" customHeight="false" outlineLevel="0" collapsed="false">
      <c r="A9" s="7" t="s">
        <v>13</v>
      </c>
      <c r="B9" s="7" t="s">
        <v>291</v>
      </c>
      <c r="C9" s="10" t="s">
        <v>554</v>
      </c>
      <c r="D9" s="7" t="s">
        <v>564</v>
      </c>
      <c r="E9" s="7" t="s">
        <v>565</v>
      </c>
      <c r="F9" s="7" t="s">
        <v>566</v>
      </c>
      <c r="G9" s="7" t="s">
        <v>558</v>
      </c>
      <c r="H9" s="12" t="s">
        <v>567</v>
      </c>
    </row>
    <row r="10" customFormat="false" ht="15" hidden="false" customHeight="false" outlineLevel="0" collapsed="false">
      <c r="A10" s="7" t="s">
        <v>13</v>
      </c>
      <c r="B10" s="7" t="s">
        <v>294</v>
      </c>
      <c r="C10" s="10" t="s">
        <v>554</v>
      </c>
      <c r="D10" s="7" t="s">
        <v>564</v>
      </c>
      <c r="E10" s="7" t="s">
        <v>565</v>
      </c>
      <c r="F10" s="7" t="s">
        <v>568</v>
      </c>
      <c r="G10" s="7" t="s">
        <v>558</v>
      </c>
      <c r="H10" s="12" t="s">
        <v>567</v>
      </c>
    </row>
    <row r="11" customFormat="false" ht="15" hidden="false" customHeight="false" outlineLevel="0" collapsed="false">
      <c r="A11" s="7" t="s">
        <v>13</v>
      </c>
      <c r="B11" s="7" t="s">
        <v>569</v>
      </c>
      <c r="C11" s="10" t="s">
        <v>554</v>
      </c>
      <c r="D11" s="7" t="s">
        <v>564</v>
      </c>
      <c r="E11" s="7" t="s">
        <v>565</v>
      </c>
      <c r="F11" s="7" t="s">
        <v>570</v>
      </c>
      <c r="G11" s="7" t="s">
        <v>558</v>
      </c>
      <c r="H11" s="12" t="s">
        <v>567</v>
      </c>
    </row>
    <row r="12" customFormat="false" ht="15" hidden="false" customHeight="false" outlineLevel="0" collapsed="false">
      <c r="A12" s="7" t="s">
        <v>13</v>
      </c>
      <c r="B12" s="7" t="s">
        <v>306</v>
      </c>
      <c r="C12" s="10" t="s">
        <v>554</v>
      </c>
      <c r="D12" s="7" t="s">
        <v>564</v>
      </c>
      <c r="E12" s="7"/>
      <c r="F12" s="7" t="s">
        <v>562</v>
      </c>
      <c r="G12" s="7" t="s">
        <v>558</v>
      </c>
      <c r="H12" s="12" t="s">
        <v>571</v>
      </c>
    </row>
    <row r="13" customFormat="false" ht="15" hidden="false" customHeight="false" outlineLevel="0" collapsed="false">
      <c r="A13" s="7" t="s">
        <v>13</v>
      </c>
      <c r="B13" s="7" t="s">
        <v>339</v>
      </c>
      <c r="C13" s="8" t="s">
        <v>539</v>
      </c>
      <c r="D13" s="7" t="s">
        <v>572</v>
      </c>
      <c r="E13" s="7" t="s">
        <v>573</v>
      </c>
      <c r="F13" s="7" t="s">
        <v>574</v>
      </c>
      <c r="G13" s="7" t="s">
        <v>575</v>
      </c>
      <c r="H13" s="12" t="s">
        <v>576</v>
      </c>
    </row>
    <row r="14" customFormat="false" ht="15" hidden="false" customHeight="false" outlineLevel="0" collapsed="false">
      <c r="A14" s="7" t="s">
        <v>13</v>
      </c>
      <c r="B14" s="7" t="s">
        <v>577</v>
      </c>
      <c r="C14" s="10" t="s">
        <v>554</v>
      </c>
      <c r="D14" s="7" t="s">
        <v>578</v>
      </c>
      <c r="E14" s="7" t="s">
        <v>579</v>
      </c>
      <c r="F14" s="7" t="s">
        <v>580</v>
      </c>
      <c r="G14" s="7" t="s">
        <v>558</v>
      </c>
      <c r="H14" s="12" t="s">
        <v>581</v>
      </c>
    </row>
    <row r="15" customFormat="false" ht="15" hidden="false" customHeight="false" outlineLevel="0" collapsed="false">
      <c r="A15" s="7" t="s">
        <v>13</v>
      </c>
      <c r="B15" s="7" t="s">
        <v>582</v>
      </c>
      <c r="C15" s="8" t="s">
        <v>539</v>
      </c>
      <c r="D15" s="7" t="s">
        <v>583</v>
      </c>
      <c r="E15" s="7" t="s">
        <v>584</v>
      </c>
      <c r="F15" s="7" t="s">
        <v>585</v>
      </c>
      <c r="G15" s="7" t="s">
        <v>542</v>
      </c>
      <c r="H15" s="12" t="s">
        <v>576</v>
      </c>
    </row>
    <row r="16" customFormat="false" ht="15" hidden="false" customHeight="false" outlineLevel="0" collapsed="false">
      <c r="A16" s="7" t="s">
        <v>13</v>
      </c>
      <c r="B16" s="7" t="s">
        <v>586</v>
      </c>
      <c r="C16" s="7" t="s">
        <v>587</v>
      </c>
      <c r="D16" s="7"/>
      <c r="E16" s="7"/>
      <c r="F16" s="7"/>
      <c r="G16" s="7" t="s">
        <v>588</v>
      </c>
      <c r="H16" s="12" t="s">
        <v>546</v>
      </c>
    </row>
    <row r="17" customFormat="false" ht="23.85" hidden="false" customHeight="false" outlineLevel="0" collapsed="false">
      <c r="A17" s="7" t="s">
        <v>10</v>
      </c>
      <c r="B17" s="7" t="s">
        <v>589</v>
      </c>
      <c r="C17" s="8" t="s">
        <v>539</v>
      </c>
      <c r="D17" s="7" t="s">
        <v>590</v>
      </c>
      <c r="E17" s="7" t="s">
        <v>591</v>
      </c>
      <c r="F17" s="7" t="s">
        <v>592</v>
      </c>
      <c r="G17" s="7" t="s">
        <v>542</v>
      </c>
      <c r="H17" s="12" t="s">
        <v>576</v>
      </c>
    </row>
    <row r="18" customFormat="false" ht="23.85" hidden="false" customHeight="false" outlineLevel="0" collapsed="false">
      <c r="A18" s="7" t="s">
        <v>10</v>
      </c>
      <c r="B18" s="7" t="s">
        <v>65</v>
      </c>
      <c r="C18" s="10" t="s">
        <v>554</v>
      </c>
      <c r="D18" s="7" t="s">
        <v>593</v>
      </c>
      <c r="E18" s="7" t="s">
        <v>594</v>
      </c>
      <c r="F18" s="7" t="s">
        <v>78</v>
      </c>
      <c r="G18" s="7" t="s">
        <v>595</v>
      </c>
      <c r="H18" s="12" t="s">
        <v>596</v>
      </c>
    </row>
    <row r="19" customFormat="false" ht="23.85" hidden="false" customHeight="false" outlineLevel="0" collapsed="false">
      <c r="A19" s="7" t="s">
        <v>10</v>
      </c>
      <c r="B19" s="7" t="s">
        <v>597</v>
      </c>
      <c r="C19" s="8" t="s">
        <v>539</v>
      </c>
      <c r="D19" s="7" t="s">
        <v>590</v>
      </c>
      <c r="E19" s="7" t="s">
        <v>591</v>
      </c>
      <c r="F19" s="7" t="s">
        <v>598</v>
      </c>
      <c r="G19" s="7" t="s">
        <v>542</v>
      </c>
      <c r="H19" s="12" t="s">
        <v>599</v>
      </c>
    </row>
    <row r="20" customFormat="false" ht="23.85" hidden="false" customHeight="false" outlineLevel="0" collapsed="false">
      <c r="A20" s="7" t="s">
        <v>10</v>
      </c>
      <c r="B20" s="7" t="s">
        <v>600</v>
      </c>
      <c r="C20" s="8" t="s">
        <v>539</v>
      </c>
      <c r="D20" s="7" t="s">
        <v>601</v>
      </c>
      <c r="E20" s="7" t="s">
        <v>602</v>
      </c>
      <c r="F20" s="7" t="s">
        <v>603</v>
      </c>
      <c r="G20" s="7" t="s">
        <v>604</v>
      </c>
      <c r="H20" s="12" t="s">
        <v>605</v>
      </c>
    </row>
    <row r="21" customFormat="false" ht="23.85" hidden="false" customHeight="false" outlineLevel="0" collapsed="false">
      <c r="A21" s="7" t="s">
        <v>10</v>
      </c>
      <c r="B21" s="7" t="s">
        <v>606</v>
      </c>
      <c r="C21" s="7" t="s">
        <v>607</v>
      </c>
      <c r="D21" s="7"/>
      <c r="E21" s="7"/>
      <c r="F21" s="7"/>
      <c r="G21" s="7" t="s">
        <v>608</v>
      </c>
      <c r="H21" s="12" t="s">
        <v>609</v>
      </c>
    </row>
    <row r="22" customFormat="false" ht="23.85" hidden="false" customHeight="false" outlineLevel="0" collapsed="false">
      <c r="A22" s="7" t="s">
        <v>10</v>
      </c>
      <c r="B22" s="7" t="s">
        <v>610</v>
      </c>
      <c r="C22" s="13" t="s">
        <v>611</v>
      </c>
      <c r="D22" s="7"/>
      <c r="E22" s="7"/>
      <c r="F22" s="7"/>
      <c r="G22" s="7" t="s">
        <v>612</v>
      </c>
      <c r="H22" s="7"/>
    </row>
    <row r="23" customFormat="false" ht="23.85" hidden="false" customHeight="false" outlineLevel="0" collapsed="false">
      <c r="A23" s="7" t="s">
        <v>11</v>
      </c>
      <c r="B23" s="7" t="s">
        <v>613</v>
      </c>
      <c r="C23" s="10" t="s">
        <v>614</v>
      </c>
      <c r="D23" s="7" t="s">
        <v>615</v>
      </c>
      <c r="E23" s="7" t="s">
        <v>616</v>
      </c>
      <c r="F23" s="7" t="s">
        <v>617</v>
      </c>
      <c r="G23" s="7" t="s">
        <v>558</v>
      </c>
      <c r="H23" s="12" t="s">
        <v>576</v>
      </c>
    </row>
    <row r="24" customFormat="false" ht="23.85" hidden="false" customHeight="false" outlineLevel="0" collapsed="false">
      <c r="A24" s="7" t="s">
        <v>11</v>
      </c>
      <c r="B24" s="7" t="s">
        <v>618</v>
      </c>
      <c r="C24" s="7" t="s">
        <v>619</v>
      </c>
      <c r="D24" s="7"/>
      <c r="E24" s="7"/>
      <c r="F24" s="7"/>
      <c r="G24" s="7" t="s">
        <v>620</v>
      </c>
      <c r="H24" s="12" t="s">
        <v>621</v>
      </c>
    </row>
    <row r="25" customFormat="false" ht="15" hidden="false" customHeight="false" outlineLevel="0" collapsed="false">
      <c r="A25" s="7" t="s">
        <v>11</v>
      </c>
      <c r="B25" s="7" t="s">
        <v>622</v>
      </c>
      <c r="C25" s="13" t="s">
        <v>623</v>
      </c>
      <c r="D25" s="7"/>
      <c r="E25" s="7"/>
      <c r="F25" s="7"/>
      <c r="G25" s="7" t="s">
        <v>624</v>
      </c>
      <c r="H25" s="7"/>
    </row>
    <row r="26" customFormat="false" ht="15" hidden="false" customHeight="false" outlineLevel="0" collapsed="false">
      <c r="A26" s="7" t="s">
        <v>11</v>
      </c>
      <c r="B26" s="7" t="s">
        <v>625</v>
      </c>
      <c r="C26" s="13" t="s">
        <v>626</v>
      </c>
      <c r="D26" s="7"/>
      <c r="E26" s="7"/>
      <c r="F26" s="7"/>
      <c r="G26" s="7" t="s">
        <v>206</v>
      </c>
      <c r="H26" s="7"/>
    </row>
    <row r="27" customFormat="false" ht="15" hidden="false" customHeight="false" outlineLevel="0" collapsed="false">
      <c r="A27" s="7" t="s">
        <v>11</v>
      </c>
      <c r="B27" s="7" t="s">
        <v>627</v>
      </c>
      <c r="C27" s="7" t="s">
        <v>628</v>
      </c>
      <c r="D27" s="7"/>
      <c r="E27" s="7"/>
      <c r="F27" s="7"/>
      <c r="G27" s="7" t="s">
        <v>588</v>
      </c>
      <c r="H27" s="12" t="s">
        <v>576</v>
      </c>
    </row>
    <row r="28" customFormat="false" ht="15" hidden="false" customHeight="false" outlineLevel="0" collapsed="false">
      <c r="A28" s="7" t="s">
        <v>15</v>
      </c>
      <c r="B28" s="7" t="s">
        <v>485</v>
      </c>
      <c r="C28" s="8" t="s">
        <v>539</v>
      </c>
      <c r="D28" s="7" t="s">
        <v>629</v>
      </c>
      <c r="E28" s="7" t="s">
        <v>630</v>
      </c>
      <c r="F28" s="7" t="s">
        <v>631</v>
      </c>
      <c r="G28" s="7" t="s">
        <v>542</v>
      </c>
      <c r="H28" s="12" t="s">
        <v>632</v>
      </c>
    </row>
    <row r="29" customFormat="false" ht="23.85" hidden="false" customHeight="false" outlineLevel="0" collapsed="false">
      <c r="A29" s="7" t="s">
        <v>15</v>
      </c>
      <c r="B29" s="7" t="s">
        <v>633</v>
      </c>
      <c r="C29" s="7" t="s">
        <v>634</v>
      </c>
      <c r="D29" s="7"/>
      <c r="E29" s="7"/>
      <c r="F29" s="7"/>
      <c r="G29" s="7" t="s">
        <v>608</v>
      </c>
      <c r="H29" s="12" t="s">
        <v>635</v>
      </c>
    </row>
    <row r="30" customFormat="false" ht="35.05" hidden="false" customHeight="false" outlineLevel="0" collapsed="false">
      <c r="A30" s="7" t="s">
        <v>15</v>
      </c>
      <c r="B30" s="7" t="s">
        <v>636</v>
      </c>
      <c r="C30" s="13" t="s">
        <v>611</v>
      </c>
      <c r="D30" s="7"/>
      <c r="E30" s="7"/>
      <c r="F30" s="7"/>
      <c r="G30" s="7" t="s">
        <v>637</v>
      </c>
      <c r="H30" s="7"/>
    </row>
    <row r="31" customFormat="false" ht="15" hidden="false" customHeight="false" outlineLevel="0" collapsed="false">
      <c r="A31" s="7" t="s">
        <v>16</v>
      </c>
      <c r="B31" s="7" t="s">
        <v>516</v>
      </c>
      <c r="C31" s="10" t="s">
        <v>554</v>
      </c>
      <c r="D31" s="7" t="s">
        <v>564</v>
      </c>
      <c r="E31" s="7" t="s">
        <v>565</v>
      </c>
      <c r="F31" s="7" t="s">
        <v>638</v>
      </c>
      <c r="G31" s="7" t="s">
        <v>639</v>
      </c>
      <c r="H31" s="12" t="s">
        <v>640</v>
      </c>
    </row>
    <row r="32" customFormat="false" ht="15" hidden="false" customHeight="false" outlineLevel="0" collapsed="false">
      <c r="A32" s="7" t="s">
        <v>16</v>
      </c>
      <c r="B32" s="7" t="s">
        <v>518</v>
      </c>
      <c r="C32" s="10" t="s">
        <v>554</v>
      </c>
      <c r="D32" s="7" t="s">
        <v>641</v>
      </c>
      <c r="E32" s="7" t="s">
        <v>556</v>
      </c>
      <c r="F32" s="7" t="s">
        <v>638</v>
      </c>
      <c r="G32" s="7" t="s">
        <v>639</v>
      </c>
      <c r="H32" s="12" t="s">
        <v>642</v>
      </c>
    </row>
    <row r="33" customFormat="false" ht="35.05" hidden="false" customHeight="false" outlineLevel="0" collapsed="false">
      <c r="A33" s="7" t="s">
        <v>16</v>
      </c>
      <c r="B33" s="7" t="s">
        <v>643</v>
      </c>
      <c r="C33" s="13" t="s">
        <v>611</v>
      </c>
      <c r="D33" s="7"/>
      <c r="E33" s="7"/>
      <c r="F33" s="7"/>
      <c r="G33" s="7" t="s">
        <v>644</v>
      </c>
      <c r="H33" s="12" t="s">
        <v>645</v>
      </c>
    </row>
    <row r="35" customFormat="false" ht="15" hidden="false" customHeight="false" outlineLevel="0" collapsed="false">
      <c r="A35" s="14" t="s">
        <v>646</v>
      </c>
    </row>
  </sheetData>
  <autoFilter ref="A1:H33"/>
  <hyperlinks>
    <hyperlink ref="H2" r:id="rId1" display="https://www.cisco.com/c/en/us/products/collateral/routers/1000-series-integrated-services-routers-isr/select-isr1100-product-eol.html"/>
    <hyperlink ref="H3" r:id="rId2" display="https://www.cisco.com/c/en/us/products/collateral/routers/1000-series-integrated-services-routers-isr/select-isr-1101-1109-series-routers-eol.html"/>
    <hyperlink ref="H4" r:id="rId3" display="https://www.cisco.com/c/en/us/products/collateral/routers/1000-series-integrated-services-routers-isr/isr-1111-series-ethernet-routers-eol.html"/>
    <hyperlink ref="H5" r:id="rId4" display="https://www.cisco.com/c/en/us/products/collateral/routers/900-series-integrated-services-routers-isr/isr-900-series-routers-licenses-accessories-eol.html"/>
    <hyperlink ref="H6" r:id="rId5" display="https://www.cisco.com/c/en/us/products/collateral/networking/sdwan-routers/catalyst-8000-edge-platforms/catalyst-c8500l-8s4x-4t2x-c8300-1n1s-6t-eol.html"/>
    <hyperlink ref="H7" r:id="rId6" display="https://www.cisco.com/c/en/us/products/collateral/networking/sdwan-routers/catalyst-8000-edge-platforms/catalyst-c8500l-8s4x-4t2x-c8300-1n1s-6t-eol.html"/>
    <hyperlink ref="H8" r:id="rId7" display="https://www.cisco.com/c/en/us/products/collateral/networking/sdwan-routers/catalyst-8000-edge-platforms/catalyst-c8500-12x-c8500-12x4qc-eol.html"/>
    <hyperlink ref="H9" r:id="rId8" display="https://www.cisco.com/c/en/us/products/collateral/networking/sdwan-routers/catalyst-8000-edge-platforms/catalyst-c8300-2n2s-4t2x-6t-1n-4t-c8200l-eol.html"/>
    <hyperlink ref="H10" r:id="rId9" display="https://www.cisco.com/c/en/us/products/collateral/networking/sdwan-routers/catalyst-8000-edge-platforms/catalyst-c8300-2n2s-4t2x-6t-1n-4t-c8200l-eol.html"/>
    <hyperlink ref="H11" r:id="rId10" display="https://www.cisco.com/c/en/us/products/collateral/networking/sdwan-routers/catalyst-8000-edge-platforms/catalyst-c8300-2n2s-4t2x-6t-1n-4t-c8200l-eol.html"/>
    <hyperlink ref="H12" r:id="rId11" display="https://www.cisco.com/c/en/us/products/collateral/networking/sdwan-routers/catalyst-8000-edge-platforms/catalyst-c8500-20x6c-eol.html"/>
    <hyperlink ref="H13" r:id="rId12" display="https://documentation.meraki.com/General_Administration/Other_Topics/Product_End-of-Life_(EOL)_Policies"/>
    <hyperlink ref="H14" r:id="rId13" display="https://www.cisco.com/c/en/us/products/collateral/security/meraki-cloud-managed-security-appliances/mx67c-mx68cw-eol.html"/>
    <hyperlink ref="H15" r:id="rId14" display="https://documentation.meraki.com/General_Administration/Other_Topics/Product_End-of-Life_(EOL)_Policies"/>
    <hyperlink ref="H16" r:id="rId15" display="https://www.cisco.com/c/en/us/products/collateral/routers/1000-series-integrated-services-routers-isr/select-isr-1101-1109-series-routers-eol.html"/>
    <hyperlink ref="H17" r:id="rId16" display="https://documentation.meraki.com/General_Administration/Other_Topics/Product_End-of-Life_(EOL)_Policies"/>
    <hyperlink ref="H18" r:id="rId17" display="https://www.cisco.com/c/en/us/products/collateral/networking/switches/meraki-switches/meraki-ms450-12x40g-aggregation-switch-eol.html"/>
    <hyperlink ref="H19" r:id="rId18" display="https://www.cisco.com/c/en/us/products/collateral/switches/catalyst-9500-series-switches/c9500-16x-switch-nm-c9500-nm-8x-nm-2q-eol.html"/>
    <hyperlink ref="H20" r:id="rId19" display="https://www.cisco.com/c/en/us/products/collateral/switches/catalyst-9400-series-switches/catalyst-9400-series-supervisor-module-eol.html"/>
    <hyperlink ref="H21" r:id="rId20" display="https://www.cisco.com/c/en/us/products/collateral/switches/small-business-220-series-smart-plus-switches/220-series-smart-switches-eol.html"/>
    <hyperlink ref="H23" r:id="rId21" display="https://documentation.meraki.com/General_Administration/Other_Topics/Product_End-of-Life_(EOL)_Policies"/>
    <hyperlink ref="H24" r:id="rId22" display="https://www.xsnet.com.au/blogs/news/cisco-wifi-6-access-point-eol"/>
    <hyperlink ref="H27" r:id="rId23" display="https://documentation.meraki.com/General_Administration/Other_Topics/Product_End-of-Life_(EOL)_Policies"/>
    <hyperlink ref="H28" r:id="rId24" display="https://www.cisco.com/c/en/us/products/collateral/switches/nexus-9000-series-switches/nexus-9332c-9364c-fixed-spine-switch-eol.html"/>
    <hyperlink ref="H29" r:id="rId25" display="https://www.cisco.com/c/en/us/products/collateral/switches/nexus-3000-series-switches/nexus-3524-x-3548-x-eol.html"/>
    <hyperlink ref="H31" r:id="rId26" display="https://www.cisco.com/c/en/us/products/collateral/switches/nexus-9000-series-switches/n9500-cloud-scale-line-cards-eol.html"/>
    <hyperlink ref="H32" r:id="rId27" display="https://www.cisco.com/c/en/us/products/collateral/switches/nexus-9000-series-switches/n9500-cloud-n9k-x9732c-fx-100g-eth-card-eol.pdf"/>
    <hyperlink ref="H33" r:id="rId28" display="https://www.cisco.com/c/en/us/products/collateral/switches/nexus-9000-series-switches/nexus-9500-100g-n9k-x9732c-ex-n9k-x9736c-ex-eol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50"/>
  </cols>
  <sheetData>
    <row r="1" customFormat="false" ht="23.85" hidden="false" customHeight="false" outlineLevel="0" collapsed="false">
      <c r="A1" s="4" t="s">
        <v>647</v>
      </c>
      <c r="B1" s="4" t="s">
        <v>648</v>
      </c>
      <c r="C1" s="4" t="s">
        <v>649</v>
      </c>
      <c r="D1" s="4" t="s">
        <v>650</v>
      </c>
      <c r="E1" s="4" t="s">
        <v>651</v>
      </c>
    </row>
    <row r="2" customFormat="false" ht="35.05" hidden="false" customHeight="false" outlineLevel="0" collapsed="false">
      <c r="A2" s="7" t="s">
        <v>652</v>
      </c>
      <c r="B2" s="7" t="s">
        <v>653</v>
      </c>
      <c r="C2" s="7" t="s">
        <v>654</v>
      </c>
      <c r="D2" s="7" t="n">
        <v>3</v>
      </c>
      <c r="E2" s="7" t="s">
        <v>655</v>
      </c>
    </row>
    <row r="3" customFormat="false" ht="35.05" hidden="false" customHeight="false" outlineLevel="0" collapsed="false">
      <c r="A3" s="7" t="s">
        <v>652</v>
      </c>
      <c r="B3" s="7" t="s">
        <v>656</v>
      </c>
      <c r="C3" s="7" t="s">
        <v>657</v>
      </c>
      <c r="D3" s="7" t="n">
        <v>86</v>
      </c>
      <c r="E3" s="7" t="s">
        <v>658</v>
      </c>
    </row>
    <row r="4" customFormat="false" ht="15" hidden="false" customHeight="false" outlineLevel="0" collapsed="false">
      <c r="A4" s="7" t="s">
        <v>652</v>
      </c>
      <c r="B4" s="7" t="s">
        <v>659</v>
      </c>
      <c r="C4" s="7" t="s">
        <v>660</v>
      </c>
      <c r="D4" s="7" t="n">
        <v>49</v>
      </c>
      <c r="E4" s="7" t="s">
        <v>661</v>
      </c>
    </row>
    <row r="5" customFormat="false" ht="23.85" hidden="false" customHeight="false" outlineLevel="0" collapsed="false">
      <c r="A5" s="7" t="s">
        <v>652</v>
      </c>
      <c r="B5" s="7" t="s">
        <v>662</v>
      </c>
      <c r="C5" s="7" t="s">
        <v>663</v>
      </c>
      <c r="D5" s="7" t="s">
        <v>664</v>
      </c>
      <c r="E5" s="7" t="s">
        <v>665</v>
      </c>
    </row>
    <row r="6" customFormat="false" ht="23.85" hidden="false" customHeight="false" outlineLevel="0" collapsed="false">
      <c r="A6" s="7" t="s">
        <v>666</v>
      </c>
      <c r="B6" s="7" t="s">
        <v>667</v>
      </c>
      <c r="C6" s="7" t="s">
        <v>668</v>
      </c>
      <c r="D6" s="7" t="n">
        <v>2</v>
      </c>
      <c r="E6" s="7" t="s">
        <v>669</v>
      </c>
    </row>
    <row r="7" customFormat="false" ht="23.85" hidden="false" customHeight="false" outlineLevel="0" collapsed="false">
      <c r="A7" s="7" t="s">
        <v>666</v>
      </c>
      <c r="B7" s="7" t="s">
        <v>670</v>
      </c>
      <c r="C7" s="7" t="s">
        <v>671</v>
      </c>
      <c r="D7" s="7" t="s">
        <v>664</v>
      </c>
      <c r="E7" s="7" t="s">
        <v>672</v>
      </c>
    </row>
    <row r="8" customFormat="false" ht="23.85" hidden="false" customHeight="false" outlineLevel="0" collapsed="false">
      <c r="A8" s="7" t="s">
        <v>666</v>
      </c>
      <c r="B8" s="7" t="s">
        <v>673</v>
      </c>
      <c r="C8" s="7" t="s">
        <v>674</v>
      </c>
      <c r="D8" s="7" t="n">
        <v>0</v>
      </c>
      <c r="E8" s="7" t="s">
        <v>675</v>
      </c>
    </row>
    <row r="9" customFormat="false" ht="23.85" hidden="false" customHeight="false" outlineLevel="0" collapsed="false">
      <c r="A9" s="7" t="s">
        <v>666</v>
      </c>
      <c r="B9" s="7" t="s">
        <v>676</v>
      </c>
      <c r="C9" s="7" t="s">
        <v>677</v>
      </c>
      <c r="D9" s="7" t="n">
        <v>0</v>
      </c>
      <c r="E9" s="7" t="s">
        <v>678</v>
      </c>
    </row>
    <row r="10" customFormat="false" ht="15" hidden="false" customHeight="false" outlineLevel="0" collapsed="false">
      <c r="A10" s="7" t="s">
        <v>666</v>
      </c>
      <c r="B10" s="7" t="s">
        <v>679</v>
      </c>
      <c r="C10" s="7" t="s">
        <v>680</v>
      </c>
      <c r="D10" s="7" t="n">
        <v>2</v>
      </c>
      <c r="E10" s="7" t="s">
        <v>681</v>
      </c>
    </row>
    <row r="11" customFormat="false" ht="23.85" hidden="false" customHeight="false" outlineLevel="0" collapsed="false">
      <c r="A11" s="7" t="s">
        <v>666</v>
      </c>
      <c r="B11" s="7" t="s">
        <v>682</v>
      </c>
      <c r="C11" s="7" t="s">
        <v>683</v>
      </c>
      <c r="D11" s="7" t="n">
        <v>0</v>
      </c>
      <c r="E11" s="7" t="s">
        <v>684</v>
      </c>
    </row>
    <row r="12" customFormat="false" ht="23.85" hidden="false" customHeight="false" outlineLevel="0" collapsed="false">
      <c r="A12" s="7" t="s">
        <v>685</v>
      </c>
      <c r="B12" s="7" t="s">
        <v>686</v>
      </c>
      <c r="C12" s="7" t="s">
        <v>687</v>
      </c>
      <c r="D12" s="7" t="n">
        <v>44</v>
      </c>
      <c r="E12" s="7" t="s">
        <v>688</v>
      </c>
    </row>
    <row r="13" customFormat="false" ht="23.85" hidden="false" customHeight="false" outlineLevel="0" collapsed="false">
      <c r="A13" s="7" t="s">
        <v>685</v>
      </c>
      <c r="B13" s="7" t="s">
        <v>689</v>
      </c>
      <c r="C13" s="7" t="s">
        <v>690</v>
      </c>
      <c r="D13" s="7" t="n">
        <v>55</v>
      </c>
      <c r="E13" s="7" t="s">
        <v>691</v>
      </c>
    </row>
    <row r="14" customFormat="false" ht="35.05" hidden="false" customHeight="false" outlineLevel="0" collapsed="false">
      <c r="A14" s="7" t="s">
        <v>692</v>
      </c>
      <c r="B14" s="7" t="s">
        <v>693</v>
      </c>
      <c r="C14" s="7" t="s">
        <v>694</v>
      </c>
      <c r="D14" s="7" t="n">
        <v>15</v>
      </c>
      <c r="E14" s="7" t="s">
        <v>695</v>
      </c>
    </row>
    <row r="15" customFormat="false" ht="23.85" hidden="false" customHeight="false" outlineLevel="0" collapsed="false">
      <c r="A15" s="7" t="s">
        <v>692</v>
      </c>
      <c r="B15" s="7" t="s">
        <v>696</v>
      </c>
      <c r="C15" s="7" t="s">
        <v>697</v>
      </c>
      <c r="D15" s="7" t="n">
        <v>10</v>
      </c>
      <c r="E15" s="7" t="s">
        <v>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2026-10-09T10:43:05Z</dcterms:created>
  <dc:creator>openpyxl</dc:creator>
  <dc:description/>
  <dc:language>en-US</dc:language>
  <cp:lastModifiedBy/>
  <dcterms:modified xsi:type="dcterms:W3CDTF">2026-10-09T10:43:05Z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