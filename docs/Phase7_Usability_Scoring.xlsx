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Sessions" state="visible" r:id="rId5"/>
    <sheet sheetId="3" name="Summary" state="visible" r:id="rId6"/>
    <sheet sheetId="4" name="Findings" state="visible" r:id="rId7"/>
  </sheets>
  <calcPr calcId="171027"/>
</workbook>
</file>

<file path=xl/sharedStrings.xml><?xml version="1.0" encoding="utf-8"?>
<sst xmlns="http://schemas.openxmlformats.org/spreadsheetml/2006/main" count="55" uniqueCount="54">
  <si>
    <t>Usability test scoring (SPEC "Done when")</t>
  </si>
  <si>
    <t/>
  </si>
  <si>
    <t>One row per participant on "Sessions". Pass = Y, fail = N, using the answer key (docs/Phase7_Usability_Key.md). A task that runs past its time limit (3 minutes for task 1, 5 for the others) is N.</t>
  </si>
  <si>
    <t>Seconds: time from reading the task aloud to the participant saying they are done (or the limit). Ease: the participant's own rating, 1 (very hard) to 5 (very easy), asked right after the task.</t>
  </si>
  <si>
    <t>"Summary" counts the passes by itself. The launch bar: at least 4 of 5 participants pass every task. Until five are entered it says PENDING.</t>
  </si>
  <si>
    <t>Write what you saw, not what you think: where they hesitated, what they tapped, words they did not understand. Copy each real problem to "Findings" with a severity.</t>
  </si>
  <si>
    <t>Keep the participants anonymous: P1 to P5, age band and phone type only. No names in this file.</t>
  </si>
  <si>
    <t>Participant</t>
  </si>
  <si>
    <t>Date</t>
  </si>
  <si>
    <t>Phone (model, Android or iOS)</t>
  </si>
  <si>
    <t>Age band</t>
  </si>
  <si>
    <t>Task 1 pass (Y/N)</t>
  </si>
  <si>
    <t>Task 1 seconds</t>
  </si>
  <si>
    <t>Task 1 ease (1-5)</t>
  </si>
  <si>
    <t>Task 2 pass (Y/N)</t>
  </si>
  <si>
    <t>Task 2 seconds</t>
  </si>
  <si>
    <t>Task 2 ease (1-5)</t>
  </si>
  <si>
    <t>Task 3 pass (Y/N)</t>
  </si>
  <si>
    <t>Task 3 seconds</t>
  </si>
  <si>
    <t>Task 3 ease (1-5)</t>
  </si>
  <si>
    <t>Task 4 pass (Y/N)</t>
  </si>
  <si>
    <t>Task 4 seconds</t>
  </si>
  <si>
    <t>Task 4 ease (1-5)</t>
  </si>
  <si>
    <t>What I observed</t>
  </si>
  <si>
    <t>P1</t>
  </si>
  <si>
    <t>P2</t>
  </si>
  <si>
    <t>P3</t>
  </si>
  <si>
    <t>P4</t>
  </si>
  <si>
    <t>P5</t>
  </si>
  <si>
    <t>Task</t>
  </si>
  <si>
    <t>What</t>
  </si>
  <si>
    <t>Tested</t>
  </si>
  <si>
    <t>Passed</t>
  </si>
  <si>
    <t>Needed</t>
  </si>
  <si>
    <t>Verdict</t>
  </si>
  <si>
    <t>Median seconds</t>
  </si>
  <si>
    <t>Mean ease</t>
  </si>
  <si>
    <t>Task 1</t>
  </si>
  <si>
    <t>24-port switch for 10 access points and 8 cameras</t>
  </si>
  <si>
    <t>Task 2</t>
  </si>
  <si>
    <t>Compare two access points, name one difference</t>
  </si>
  <si>
    <t>Task 3</t>
  </si>
  <si>
    <t>Find a new Cisco feature and explain it</t>
  </si>
  <si>
    <t>Task 4</t>
  </si>
  <si>
    <t>Add models to the list and share it (link or PDF)</t>
  </si>
  <si>
    <t>Overall</t>
  </si>
  <si>
    <t>Launch needs PASS here (every task passed by at least 4 of 5)</t>
  </si>
  <si>
    <t>#</t>
  </si>
  <si>
    <t>Severity (blocker / major / minor)</t>
  </si>
  <si>
    <t>Page</t>
  </si>
  <si>
    <t>What happened</t>
  </si>
  <si>
    <t>Who (P1, P3...)</t>
  </si>
  <si>
    <t>Idea to fix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</si>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</sst>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  <row r="5" spans="1:1" s="2" customFormat="1" x14ac:dyDescent="0.25">
      <c r="A5" s="2" t="s">
        <v>4</v>
      </c>
    </row>
    <row r="6" spans="1:1" s="2" customFormat="1" x14ac:dyDescent="0.25">
      <c r="A6" s="2" t="s">
        <v>5</v>
      </c>
    </row>
    <row r="7" spans="1:1" s="2" customFormat="1" x14ac:dyDescent="0.25">
      <c r="A7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6" customWidth="1"/>
    <col min="4" max="16" width="14" customWidth="1"/>
    <col min="17" max="17" width="70" customWidth="1"/>
  </cols>
  <sheetData>
    <row r="1" spans="1:17" s="3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  <row r="2" spans="1:16" s="2" customFormat="1" x14ac:dyDescent="0.25">
      <c r="A2" s="2" t="s">
        <v>24</v>
      </c>
      <c r="E2" s="2"/>
      <c r="G2" s="2"/>
      <c r="H2" s="2"/>
      <c r="J2" s="2"/>
      <c r="K2" s="2"/>
      <c r="M2" s="2"/>
      <c r="N2" s="2"/>
      <c r="P2" s="2"/>
    </row>
    <row r="3" spans="1:16" s="2" customFormat="1" x14ac:dyDescent="0.25">
      <c r="A3" s="2" t="s">
        <v>25</v>
      </c>
      <c r="E3" s="2"/>
      <c r="G3" s="2"/>
      <c r="H3" s="2"/>
      <c r="J3" s="2"/>
      <c r="K3" s="2"/>
      <c r="M3" s="2"/>
      <c r="N3" s="2"/>
      <c r="P3" s="2"/>
    </row>
    <row r="4" spans="1:16" s="2" customFormat="1" x14ac:dyDescent="0.25">
      <c r="A4" s="2" t="s">
        <v>26</v>
      </c>
      <c r="E4" s="2"/>
      <c r="G4" s="2"/>
      <c r="H4" s="2"/>
      <c r="J4" s="2"/>
      <c r="K4" s="2"/>
      <c r="M4" s="2"/>
      <c r="N4" s="2"/>
      <c r="P4" s="2"/>
    </row>
    <row r="5" spans="1:16" s="2" customFormat="1" x14ac:dyDescent="0.25">
      <c r="A5" s="2" t="s">
        <v>27</v>
      </c>
      <c r="E5" s="2"/>
      <c r="G5" s="2"/>
      <c r="H5" s="2"/>
      <c r="J5" s="2"/>
      <c r="K5" s="2"/>
      <c r="M5" s="2"/>
      <c r="N5" s="2"/>
      <c r="P5" s="2"/>
    </row>
    <row r="6" spans="1:16" s="2" customFormat="1" x14ac:dyDescent="0.25">
      <c r="A6" s="2" t="s">
        <v>28</v>
      </c>
      <c r="E6" s="2"/>
      <c r="G6" s="2"/>
      <c r="H6" s="2"/>
      <c r="J6" s="2"/>
      <c r="K6" s="2"/>
      <c r="M6" s="2"/>
      <c r="N6" s="2"/>
      <c r="P6" s="2"/>
    </row>
  </sheetData>
  <dataValidations count="8">
    <dataValidation type="list" allowBlank="1" sqref="E2:E6">
      <formula1>"Y,N"</formula1>
    </dataValidation>
    <dataValidation type="whole" allowBlank="1" sqref="G2:G6">
      <formula1>1</formula1>
      <formula2>5</formula2>
    </dataValidation>
    <dataValidation type="list" allowBlank="1" sqref="H2:H6">
      <formula1>"Y,N"</formula1>
    </dataValidation>
    <dataValidation type="whole" allowBlank="1" sqref="J2:J6">
      <formula1>1</formula1>
      <formula2>5</formula2>
    </dataValidation>
    <dataValidation type="list" allowBlank="1" sqref="K2:K6">
      <formula1>"Y,N"</formula1>
    </dataValidation>
    <dataValidation type="whole" allowBlank="1" sqref="M2:M6">
      <formula1>1</formula1>
      <formula2>5</formula2>
    </dataValidation>
    <dataValidation type="list" allowBlank="1" sqref="N2:N6">
      <formula1>"Y,N"</formula1>
    </dataValidation>
    <dataValidation type="whole" allowBlank="1" sqref="P2:P6">
      <formula1>1</formula1>
      <formula2>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0" customWidth="1"/>
    <col min="2" max="2" width="52" customWidth="1"/>
    <col min="6" max="6" width="12" customWidth="1"/>
    <col min="7" max="7" width="16" customWidth="1"/>
    <col min="8" max="8" width="11" customWidth="1"/>
  </cols>
  <sheetData>
    <row r="1" spans="1:8" s="4" customFormat="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</row>
    <row r="2" spans="1:8" x14ac:dyDescent="0.25">
      <c r="A2" t="s">
        <v>37</v>
      </c>
      <c r="B2" t="s">
        <v>38</v>
      </c>
      <c r="C2">
        <f>COUNTA(Sessions!E2:E6)</f>
      </c>
      <c r="D2">
        <f>COUNTIF(Sessions!E2:E6,"Y")</f>
      </c>
      <c r="E2">
        <v>4</v>
      </c>
      <c r="F2">
        <f>IF(C2&lt;5,"PENDING",IF(D2&gt;=E2,"PASS","FAIL"))</f>
      </c>
      <c r="G2">
        <f>IFERROR(MEDIAN(Sessions!F2:F6),"")</f>
      </c>
      <c r="H2">
        <f>IFERROR(ROUND(AVERAGE(Sessions!G2:G6),1),"")</f>
      </c>
    </row>
    <row r="3" spans="1:8" x14ac:dyDescent="0.25">
      <c r="A3" t="s">
        <v>39</v>
      </c>
      <c r="B3" t="s">
        <v>40</v>
      </c>
      <c r="C3">
        <f>COUNTA(Sessions!H2:H6)</f>
      </c>
      <c r="D3">
        <f>COUNTIF(Sessions!H2:H6,"Y")</f>
      </c>
      <c r="E3">
        <v>4</v>
      </c>
      <c r="F3">
        <f>IF(C3&lt;5,"PENDING",IF(D3&gt;=E3,"PASS","FAIL"))</f>
      </c>
      <c r="G3">
        <f>IFERROR(MEDIAN(Sessions!I2:I6),"")</f>
      </c>
      <c r="H3">
        <f>IFERROR(ROUND(AVERAGE(Sessions!J2:J6),1),"")</f>
      </c>
    </row>
    <row r="4" spans="1:8" x14ac:dyDescent="0.25">
      <c r="A4" t="s">
        <v>41</v>
      </c>
      <c r="B4" t="s">
        <v>42</v>
      </c>
      <c r="C4">
        <f>COUNTA(Sessions!K2:K6)</f>
      </c>
      <c r="D4">
        <f>COUNTIF(Sessions!K2:K6,"Y")</f>
      </c>
      <c r="E4">
        <v>4</v>
      </c>
      <c r="F4">
        <f>IF(C4&lt;5,"PENDING",IF(D4&gt;=E4,"PASS","FAIL"))</f>
      </c>
      <c r="G4">
        <f>IFERROR(MEDIAN(Sessions!L2:L6),"")</f>
      </c>
      <c r="H4">
        <f>IFERROR(ROUND(AVERAGE(Sessions!M2:M6),1),"")</f>
      </c>
    </row>
    <row r="5" spans="1:8" x14ac:dyDescent="0.25">
      <c r="A5" t="s">
        <v>43</v>
      </c>
      <c r="B5" t="s">
        <v>44</v>
      </c>
      <c r="C5">
        <f>COUNTA(Sessions!N2:N6)</f>
      </c>
      <c r="D5">
        <f>COUNTIF(Sessions!N2:N6,"Y")</f>
      </c>
      <c r="E5">
        <v>4</v>
      </c>
      <c r="F5">
        <f>IF(C5&lt;5,"PENDING",IF(D5&gt;=E5,"PASS","FAIL"))</f>
      </c>
      <c r="G5">
        <f>IFERROR(MEDIAN(Sessions!O2:O6),"")</f>
      </c>
      <c r="H5">
        <f>IFERROR(ROUND(AVERAGE(Sessions!P2:P6),1),"")</f>
      </c>
    </row>
    <row r="7" spans="1:6" x14ac:dyDescent="0.25">
      <c r="A7" s="4" t="s">
        <v>45</v>
      </c>
      <c r="B7" t="s">
        <v>46</v>
      </c>
      <c r="F7" s="4">
        <f>IF(COUNTIF(F2:F5,"PENDING")&gt;0,"PENDING",IF(COUNTIF(F2:F5,"FAIL")&gt;0,"FAIL","PASS"))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8" customWidth="1"/>
    <col min="4" max="4" width="28" customWidth="1"/>
    <col min="5" max="5" width="60" customWidth="1"/>
    <col min="6" max="6" width="14" customWidth="1"/>
    <col min="7" max="7" width="50" customWidth="1"/>
    <col min="8" max="8" width="12" customWidth="1"/>
  </cols>
  <sheetData>
    <row r="1" spans="1:8" s="5" customFormat="1" x14ac:dyDescent="0.25">
      <c r="A1" s="5" t="s">
        <v>47</v>
      </c>
      <c r="B1" s="5" t="s">
        <v>48</v>
      </c>
      <c r="C1" s="5" t="s">
        <v>29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</row>
    <row r="2" spans="2:2" x14ac:dyDescent="0.25"/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</sheetData>
  <dataValidations count="2">
    <dataValidation type="list" allowBlank="1" sqref="B10:B40">
      <formula1>"blocker,major,minor"</formula1>
    </dataValidation>
    <dataValidation type="list" allowBlank="1" sqref="B2:B40">
      <formula1>"blocker,major,minor"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Sessions</vt:lpstr>
      <vt:lpstr>Summary</vt:lpstr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tools4us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